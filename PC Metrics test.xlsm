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whcinc-my.sharepoint.com/personal/sadams_whcenergyservices_com/Documents/Desktop/"/>
    </mc:Choice>
  </mc:AlternateContent>
  <xr:revisionPtr revIDLastSave="0" documentId="8_{A2E6B449-C9E2-4D82-A77F-5CDF97C812F0}" xr6:coauthVersionLast="47" xr6:coauthVersionMax="47" xr10:uidLastSave="{00000000-0000-0000-0000-000000000000}"/>
  <bookViews>
    <workbookView xWindow="28680" yWindow="-4785" windowWidth="38640" windowHeight="21120" xr2:uid="{81767BE7-AA43-476B-B0E3-CF237085F16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Shane Adams</author>
  </authors>
  <commentList>
    <comment ref="B131" authorId="0" shapeId="0" xr:uid="{8DC6ADE3-D33D-4D71-954B-36D492208C5F}">
      <text>
        <r>
          <rPr>
            <b/>
            <sz val="9"/>
            <color indexed="81"/>
            <rFont val="Tahoma"/>
            <family val="2"/>
          </rPr>
          <t>Shane Adams:</t>
        </r>
        <r>
          <rPr>
            <sz val="9"/>
            <color indexed="81"/>
            <rFont val="Tahoma"/>
            <family val="2"/>
          </rPr>
          <t xml:space="preserve">
These rows feed from the 'Historical &amp; Budget URs' tab via INDEX/MATCH on cost code (column A). Budget pulls the Budget Manhours columns; Actual pulls the Actual Manhours columns.</t>
        </r>
      </text>
    </comment>
  </commentList>
</comments>
</file>

<file path=xl/sharedStrings.xml><?xml version="1.0" encoding="utf-8"?>
<sst xmlns="http://schemas.openxmlformats.org/spreadsheetml/2006/main" count="224" uniqueCount="212">
  <si>
    <t>PROJECT 1</t>
  </si>
  <si>
    <t>PROJECT 2</t>
  </si>
  <si>
    <t>PROJECT 3</t>
  </si>
  <si>
    <t>PROJECT 4</t>
  </si>
  <si>
    <t>PROJECT 5</t>
  </si>
  <si>
    <t>Project</t>
  </si>
  <si>
    <t>23-4003</t>
  </si>
  <si>
    <t>East Atmore-PGR</t>
  </si>
  <si>
    <t>24-4001</t>
  </si>
  <si>
    <t>Foley-PGR</t>
  </si>
  <si>
    <t>24-4002</t>
  </si>
  <si>
    <t>OH-PGR</t>
  </si>
  <si>
    <t>22-4001</t>
  </si>
  <si>
    <t>Sunray</t>
  </si>
  <si>
    <t>24-4004</t>
  </si>
  <si>
    <t>DWR Chevron</t>
  </si>
  <si>
    <t>Metric</t>
  </si>
  <si>
    <t>Budget</t>
  </si>
  <si>
    <t>Actual</t>
  </si>
  <si>
    <t>Var</t>
  </si>
  <si>
    <t>Mega Watt Size (MW)</t>
  </si>
  <si>
    <t>PV Hours per Watt</t>
  </si>
  <si>
    <t>Civil Hours per Watt</t>
  </si>
  <si>
    <t>SS Hours per Watt</t>
  </si>
  <si>
    <t>Total Hours per Watt</t>
  </si>
  <si>
    <t>— DIVISION SUMMARY —</t>
  </si>
  <si>
    <t xml:space="preserve">Cost – PV </t>
  </si>
  <si>
    <t xml:space="preserve">Cost – Civil </t>
  </si>
  <si>
    <t>Cost – Other</t>
  </si>
  <si>
    <t>Cost – TotaL</t>
  </si>
  <si>
    <t>PV Hours</t>
  </si>
  <si>
    <t>Civil Hours</t>
  </si>
  <si>
    <t>SS Hours</t>
  </si>
  <si>
    <t>Total Project Hours</t>
  </si>
  <si>
    <t>CPI – PV</t>
  </si>
  <si>
    <t xml:space="preserve">CPI – Civil </t>
  </si>
  <si>
    <t xml:space="preserve">CPI – Total </t>
  </si>
  <si>
    <t xml:space="preserve">PF – PV </t>
  </si>
  <si>
    <t>SS- PF</t>
  </si>
  <si>
    <t xml:space="preserve">PF – Civil </t>
  </si>
  <si>
    <t>-</t>
  </si>
  <si>
    <t>PF – Total</t>
  </si>
  <si>
    <t xml:space="preserve">Cost Per Watt </t>
  </si>
  <si>
    <t xml:space="preserve">Revenue Per Watt </t>
  </si>
  <si>
    <t>Revenue ($)</t>
  </si>
  <si>
    <t>— PROJECT METRICS —</t>
  </si>
  <si>
    <t xml:space="preserve">Cost/Pile EAC </t>
  </si>
  <si>
    <t xml:space="preserve">Cost/Pile Rework EAC </t>
  </si>
  <si>
    <t xml:space="preserve">Total Cost/Pile </t>
  </si>
  <si>
    <t>— OTHER COST —</t>
  </si>
  <si>
    <t xml:space="preserve">Materials </t>
  </si>
  <si>
    <t xml:space="preserve">Racking Materials </t>
  </si>
  <si>
    <t>DC Cable</t>
  </si>
  <si>
    <t>MW Cable</t>
  </si>
  <si>
    <t>String Cable &amp; LBDs</t>
  </si>
  <si>
    <t xml:space="preserve">Inverters </t>
  </si>
  <si>
    <t>Weather</t>
  </si>
  <si>
    <t xml:space="preserve">FOG </t>
  </si>
  <si>
    <t xml:space="preserve">Supplies </t>
  </si>
  <si>
    <t xml:space="preserve">Engineering </t>
  </si>
  <si>
    <t>Labor</t>
  </si>
  <si>
    <t>Equip (Budget)</t>
  </si>
  <si>
    <t>— FOG &amp; SUPPLIES % —</t>
  </si>
  <si>
    <t>FOG % Equip Cost</t>
  </si>
  <si>
    <t>Supplies % of Labor</t>
  </si>
  <si>
    <t>— PROFIT SUMMARY —</t>
  </si>
  <si>
    <t>Warranty ($)</t>
  </si>
  <si>
    <t xml:space="preserve">LDs ($) </t>
  </si>
  <si>
    <t xml:space="preserve">Contingency ($) </t>
  </si>
  <si>
    <t>Profit ($)</t>
  </si>
  <si>
    <t>Current Month Profit ($)</t>
  </si>
  <si>
    <t xml:space="preserve">Margin on Rev % </t>
  </si>
  <si>
    <t>Margin on Cost %</t>
  </si>
  <si>
    <t>Movement ($)</t>
  </si>
  <si>
    <t>Current Cash Position</t>
  </si>
  <si>
    <t>% Complete – WIP JTD</t>
  </si>
  <si>
    <t>Earned Margin – WIP JTD</t>
  </si>
  <si>
    <t>Remaining Margin – WIP JTD</t>
  </si>
  <si>
    <t>Earned Revenue – WIP JTD</t>
  </si>
  <si>
    <t>Change in Costs – Month WIP</t>
  </si>
  <si>
    <t>Change in Contingency – Month WIP</t>
  </si>
  <si>
    <t>Change in Earned Margin – Month WIP</t>
  </si>
  <si>
    <t>% Margin – Month WIP</t>
  </si>
  <si>
    <t>Change in Earned Revenue – Month WIP</t>
  </si>
  <si>
    <t>— UNIT RATES —</t>
  </si>
  <si>
    <t>4005-FOE (HR/DAY)</t>
  </si>
  <si>
    <t>4006-Yard and Trailer (HR/DAY)</t>
  </si>
  <si>
    <t>4031-Hire-In and Orientation (HR/DAY)</t>
  </si>
  <si>
    <t>4115-Clean Up (HR/QTY)</t>
  </si>
  <si>
    <t>4116-Mowing (HR/QTY)</t>
  </si>
  <si>
    <t>4300-Mechanical Receiving (HR/QTY)</t>
  </si>
  <si>
    <t>4400-Electrical Receiving (HR/QTY)</t>
  </si>
  <si>
    <t>4503-AC-MV Cabling (HR/QTY)</t>
  </si>
  <si>
    <t>4301-Pile Layout (HR/QTY)</t>
  </si>
  <si>
    <t>4302-Pile Install (HR/QTY)</t>
  </si>
  <si>
    <t>4303-Pile QAQC (HR/QTY)</t>
  </si>
  <si>
    <t>4304-Racking Layout (HR/QTY)</t>
  </si>
  <si>
    <t>4305-Racking Install (HR/QTY)</t>
  </si>
  <si>
    <t>4306-Racking QAQC (HR/QTY)</t>
  </si>
  <si>
    <t>4307-Modules Layout (HR/QTY)</t>
  </si>
  <si>
    <t>4308-Modules Install (HR/QTY)</t>
  </si>
  <si>
    <t>4309-Modules QAQC (HR/QTY)</t>
  </si>
  <si>
    <t>4309-01-Module Mapping (HR/QTY)</t>
  </si>
  <si>
    <t>4320-Mechanical Punch List (HR/QTY)</t>
  </si>
  <si>
    <t>4401-DC Trenching (HR/QTY)</t>
  </si>
  <si>
    <t>4402-Transitions Pre-Fab (HR/QTY)</t>
  </si>
  <si>
    <t>4403-DC Transitions (HR/QTY)</t>
  </si>
  <si>
    <t>4405-DC Feeder (HR/QTY)</t>
  </si>
  <si>
    <t>4406- Road Conduit Install (HR/QTY)</t>
  </si>
  <si>
    <t>4407-Module Wiring (HR/QTY)</t>
  </si>
  <si>
    <t>4408-String Cable AG (HR/QTY)</t>
  </si>
  <si>
    <t>4410-DC Terminations @ Inv &amp; LBD (HR/QTY)</t>
  </si>
  <si>
    <t>4411-LBDs (Combiner Boxes) (HR/QTY)</t>
  </si>
  <si>
    <t>4412-CAB System Install (HR/QTY)</t>
  </si>
  <si>
    <t>4413-DC Testing (HR/QTY)</t>
  </si>
  <si>
    <t>4416-Trunk Cable (HR/QTY)</t>
  </si>
  <si>
    <t>4420-Electrical DC Punch List (HR/QTY)</t>
  </si>
  <si>
    <t>4501-AC-MV Terminations (HR/QTY)</t>
  </si>
  <si>
    <t>4511-Junction Box (HR/QTY)</t>
  </si>
  <si>
    <t>4512-AC Testing (HR/QTY)</t>
  </si>
  <si>
    <t>4520-Electrical MV Punch List (HR/QTY)</t>
  </si>
  <si>
    <t>4700-Inv Skid Excavation (HR/QTY)</t>
  </si>
  <si>
    <t>4701-Inv Skid Conduit (HR/QTY)</t>
  </si>
  <si>
    <t>4702-Inv Skid Backfill (HR/QTY)</t>
  </si>
  <si>
    <t>4703-Inv Skid Pad (HR/QTY)</t>
  </si>
  <si>
    <t>4704-Inv Skid Setting (HR/QTY)</t>
  </si>
  <si>
    <t>4614-SCADA Met (HR/QTY)</t>
  </si>
  <si>
    <t>4414-Commissioning (HR/QTY)</t>
  </si>
  <si>
    <t>4602-Fiber Terms (HR/QTY)</t>
  </si>
  <si>
    <t>4101-Brush Hog (HR/QTY)</t>
  </si>
  <si>
    <t>4125-SWPPP Maintenance (HR/QTY)</t>
  </si>
  <si>
    <t>4100-Silt Fence and Erosion Ctl (HR/QTY)</t>
  </si>
  <si>
    <t>4102-Clearing &amp; Grubbing (HR/QTY)</t>
  </si>
  <si>
    <t>4103-Cut and Fill (HR/QTY)</t>
  </si>
  <si>
    <t>4104-Site Grading (HR/QTY)</t>
  </si>
  <si>
    <t>4104-01-Substation &amp; Grading (HR/QTY)</t>
  </si>
  <si>
    <t>4105-Top Soil Stripping (HR/QTY)</t>
  </si>
  <si>
    <t>4106-Respread Top Soil (HR/QTY)</t>
  </si>
  <si>
    <t>4108-Site Drainage (HR/QTY)</t>
  </si>
  <si>
    <t>4109-Gravel Roadways (HR/QTY)</t>
  </si>
  <si>
    <t>4112-Seeding (HR/QTY)</t>
  </si>
  <si>
    <t>4118-Clean Up (HR/QTY)</t>
  </si>
  <si>
    <t>4120-Site Entrances (HR/QTY)</t>
  </si>
  <si>
    <t>4121-Laydown Yard (HR/QTY)</t>
  </si>
  <si>
    <t>4122-Equipment Pad Installation (HR/QTY)</t>
  </si>
  <si>
    <t>4128-Basin Excavation (HR/QTY)</t>
  </si>
  <si>
    <t>4129-Basin Structure Install (HR/QTY)</t>
  </si>
  <si>
    <t>4123-Dust Control (HR/QTY)</t>
  </si>
  <si>
    <t>— Hours By Cost Code  —</t>
  </si>
  <si>
    <t>4005-FOE (Hours)</t>
  </si>
  <si>
    <t>4006-Yard and Trailer (Hours)</t>
  </si>
  <si>
    <t>4031-Hire-In and Orientation (Hours)</t>
  </si>
  <si>
    <t>4115-Clean Up (Hours)</t>
  </si>
  <si>
    <t>4116-Mowing (Hours)</t>
  </si>
  <si>
    <t>4300-Mechanical Receiving (Hours)</t>
  </si>
  <si>
    <t>4400-Electrical Receiving (Hours)</t>
  </si>
  <si>
    <t>4503-AC-MV Cabling (Hours)</t>
  </si>
  <si>
    <t>4301-Pile Layout (Hours)</t>
  </si>
  <si>
    <t>4302-Pile Install (Hours)</t>
  </si>
  <si>
    <t>4303-Pile QAQC (Hours)</t>
  </si>
  <si>
    <t>4304-Racking Layout (Hours)</t>
  </si>
  <si>
    <t>4305-Racking Install (Hours)</t>
  </si>
  <si>
    <t>4306-Racking QAQC (Hours)</t>
  </si>
  <si>
    <t>4307-Modules Layout (Hours)</t>
  </si>
  <si>
    <t>4308-Modules Install (Hours)</t>
  </si>
  <si>
    <t>4309-Modules QAQC (Hours)</t>
  </si>
  <si>
    <t>4309-01-Module Mapping (Hours)</t>
  </si>
  <si>
    <t>4320-Mechanical Punch List (Hours)</t>
  </si>
  <si>
    <t>4401-DC Trenching (Hours)</t>
  </si>
  <si>
    <t>4402-Transitions Pre-Fab (Hours)</t>
  </si>
  <si>
    <t>4403-DC Transitions (Hours)</t>
  </si>
  <si>
    <t>4405-DC Feeder (Hours)</t>
  </si>
  <si>
    <t>4406- Road Conduit Install (Hours)</t>
  </si>
  <si>
    <t>4407-Module Wiring (Hours)</t>
  </si>
  <si>
    <t>4408-String Cable AG (Hours)</t>
  </si>
  <si>
    <t>4410-DC Terminations @ Inv &amp; LBD (Hours)</t>
  </si>
  <si>
    <t>4411-LBDs (Combiner Boxes) (Hours)</t>
  </si>
  <si>
    <t>4412-CAB System Install (Hours)</t>
  </si>
  <si>
    <t>4413-DC Testing (Hours)</t>
  </si>
  <si>
    <t>4416-Trunk Cable (Hours)</t>
  </si>
  <si>
    <t>4420-Electrical DC Punch List (Hours)</t>
  </si>
  <si>
    <t>4501-AC-MV Terminations (Hours)</t>
  </si>
  <si>
    <t>4511-Junction Box (Hours)</t>
  </si>
  <si>
    <t>4512-AC Testing (Hours)</t>
  </si>
  <si>
    <t>4520-Electrical MV Punch List (Hours)</t>
  </si>
  <si>
    <t>4700-Inv Skid Excavation (Hours)</t>
  </si>
  <si>
    <t>4701-Inv Skid Conduit (Hours)</t>
  </si>
  <si>
    <t>4702-Inv Skid Backfill (Hours)</t>
  </si>
  <si>
    <t>4703-Inv Skid Pad (Hours)</t>
  </si>
  <si>
    <t>4704-Inv Skid Setting (Hours)</t>
  </si>
  <si>
    <t>4614-SCADA Met (Hours)</t>
  </si>
  <si>
    <t>4414-Commissioning (Hours)</t>
  </si>
  <si>
    <t>4602-Fiber Terms (Hours)</t>
  </si>
  <si>
    <t>4101-Brush Hog (Hours)</t>
  </si>
  <si>
    <t>4125-SWPPP Maintenance (Hours)</t>
  </si>
  <si>
    <t>4100-Silt Fence and Erosion Ctl (Hours)</t>
  </si>
  <si>
    <t>4102-Clearing &amp; Grubbing (Hours)</t>
  </si>
  <si>
    <t>4103-Cut and Fill (Hours)</t>
  </si>
  <si>
    <t>4104-Site Grading (Hours)</t>
  </si>
  <si>
    <t>4104-01-Substation &amp; Grading (Hours)</t>
  </si>
  <si>
    <t>4105-Top Soil Stripping (Hours)</t>
  </si>
  <si>
    <t>4106-Respread Top Soil (Hours)</t>
  </si>
  <si>
    <t>4108-Site Drainage (Hours)</t>
  </si>
  <si>
    <t>4109-Gravel Roadways (Hours)</t>
  </si>
  <si>
    <t>4112-Seeding (Hours)</t>
  </si>
  <si>
    <t>4118-Clean Up (Hours)</t>
  </si>
  <si>
    <t>4120-Site Entrances (Hours)</t>
  </si>
  <si>
    <t>4121-Laydown Yard (Hours)</t>
  </si>
  <si>
    <t>4122-Equipment Pad Installation (Hours)</t>
  </si>
  <si>
    <t>4128-Basin Excavation (Hours)</t>
  </si>
  <si>
    <t>4129-Basin Structure Install (Hours)</t>
  </si>
  <si>
    <t>4123-Dust Control (Hours)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</si>
</sst>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#,##0.0&quot; MW&quot;"/>
    <numFmt numFmtId="165" formatCode="&quot;$&quot;0.000"/>
    <numFmt numFmtId="166" formatCode="0.0%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b/>
      <sz val="9"/>
      <color rgb="FFFFFFFF"/>
      <name val="Arial"/>
      <family val="2"/>
    </font>
    <font>
      <b/>
      <sz val="10"/>
      <color rgb="FF1F4E78"/>
      <name val="Arial"/>
      <family val="2"/>
    </font>
    <font>
      <sz val="10"/>
      <color rgb="FF0000FF"/>
      <name val="Arial"/>
      <family val="2"/>
    </font>
    <font>
      <sz val="10"/>
      <color rgb="FF006100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/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thin">
        <color rgb="FFBFBFBF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 style="medium">
        <color rgb="FF1F4E78"/>
      </left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 style="medium">
        <color rgb="FF1F4E78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medium">
        <color auto="1"/>
      </right>
      <top/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medium">
        <color indexed="64"/>
      </right>
      <top style="thin">
        <color rgb="FFBFBFB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BFBFBF"/>
      </right>
      <top style="medium">
        <color indexed="64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 style="medium">
        <color indexed="64"/>
      </bottom>
      <diagonal/>
    </border>
    <border>
      <left style="thin">
        <color rgb="FFBFBFB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1F4E78"/>
      </left>
      <right style="thin">
        <color rgb="FFBFBFBF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4" xfId="0" applyFont="1" applyFill="1" applyBorder="1"/>
    <xf numFmtId="0" fontId="4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0" fillId="0" borderId="7" xfId="0" applyBorder="1"/>
    <xf numFmtId="0" fontId="4" fillId="0" borderId="8" xfId="0" applyFont="1" applyBorder="1" applyAlignment="1">
      <alignment horizontal="center"/>
    </xf>
    <xf numFmtId="0" fontId="3" fillId="3" borderId="9" xfId="0" applyFont="1" applyFill="1" applyBorder="1"/>
    <xf numFmtId="0" fontId="6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7" fillId="0" borderId="14" xfId="0" applyFont="1" applyBorder="1"/>
    <xf numFmtId="164" fontId="8" fillId="4" borderId="10" xfId="0" applyNumberFormat="1" applyFont="1" applyFill="1" applyBorder="1" applyAlignment="1">
      <alignment horizontal="center"/>
    </xf>
    <xf numFmtId="164" fontId="8" fillId="4" borderId="11" xfId="0" applyNumberFormat="1" applyFont="1" applyFill="1" applyBorder="1" applyAlignment="1">
      <alignment horizontal="center"/>
    </xf>
    <xf numFmtId="0" fontId="0" fillId="0" borderId="12" xfId="0" applyBorder="1"/>
    <xf numFmtId="164" fontId="8" fillId="4" borderId="13" xfId="0" applyNumberFormat="1" applyFont="1" applyFill="1" applyBorder="1" applyAlignment="1">
      <alignment horizontal="center"/>
    </xf>
    <xf numFmtId="2" fontId="8" fillId="4" borderId="10" xfId="0" applyNumberFormat="1" applyFont="1" applyFill="1" applyBorder="1" applyAlignment="1">
      <alignment horizontal="center"/>
    </xf>
    <xf numFmtId="2" fontId="9" fillId="0" borderId="12" xfId="0" applyNumberFormat="1" applyFont="1" applyBorder="1"/>
    <xf numFmtId="2" fontId="8" fillId="4" borderId="13" xfId="0" applyNumberFormat="1" applyFont="1" applyFill="1" applyBorder="1" applyAlignment="1">
      <alignment horizontal="center"/>
    </xf>
    <xf numFmtId="2" fontId="8" fillId="4" borderId="11" xfId="0" applyNumberFormat="1" applyFont="1" applyFill="1" applyBorder="1" applyAlignment="1">
      <alignment horizontal="center"/>
    </xf>
    <xf numFmtId="0" fontId="7" fillId="5" borderId="14" xfId="0" applyFont="1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10" fillId="0" borderId="15" xfId="0" applyFont="1" applyBorder="1"/>
    <xf numFmtId="44" fontId="10" fillId="0" borderId="16" xfId="1" applyFont="1" applyBorder="1" applyAlignment="1">
      <alignment horizontal="center"/>
    </xf>
    <xf numFmtId="44" fontId="9" fillId="0" borderId="12" xfId="0" applyNumberFormat="1" applyFont="1" applyBorder="1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1" fontId="10" fillId="0" borderId="15" xfId="0" applyNumberFormat="1" applyFont="1" applyBorder="1"/>
    <xf numFmtId="1" fontId="10" fillId="0" borderId="16" xfId="1" applyNumberFormat="1" applyFont="1" applyBorder="1" applyAlignment="1">
      <alignment horizontal="center"/>
    </xf>
    <xf numFmtId="1" fontId="9" fillId="0" borderId="12" xfId="0" applyNumberFormat="1" applyFont="1" applyBorder="1"/>
    <xf numFmtId="1" fontId="10" fillId="0" borderId="16" xfId="0" applyNumberFormat="1" applyFont="1" applyBorder="1" applyAlignment="1">
      <alignment horizontal="center"/>
    </xf>
    <xf numFmtId="2" fontId="10" fillId="0" borderId="16" xfId="0" applyNumberFormat="1" applyFont="1" applyBorder="1" applyAlignment="1">
      <alignment horizontal="center"/>
    </xf>
    <xf numFmtId="165" fontId="9" fillId="0" borderId="12" xfId="0" applyNumberFormat="1" applyFont="1" applyBorder="1"/>
    <xf numFmtId="0" fontId="10" fillId="0" borderId="15" xfId="0" applyFont="1" applyBorder="1" applyAlignment="1">
      <alignment horizontal="left"/>
    </xf>
    <xf numFmtId="44" fontId="10" fillId="0" borderId="17" xfId="1" applyFont="1" applyBorder="1" applyAlignment="1">
      <alignment horizontal="center"/>
    </xf>
    <xf numFmtId="44" fontId="0" fillId="0" borderId="0" xfId="1" applyFont="1"/>
    <xf numFmtId="0" fontId="0" fillId="0" borderId="15" xfId="0" applyBorder="1"/>
    <xf numFmtId="44" fontId="0" fillId="0" borderId="17" xfId="1" applyFont="1" applyBorder="1" applyAlignment="1">
      <alignment horizontal="center"/>
    </xf>
    <xf numFmtId="0" fontId="7" fillId="0" borderId="15" xfId="0" applyFont="1" applyBorder="1"/>
    <xf numFmtId="0" fontId="11" fillId="0" borderId="15" xfId="0" applyFont="1" applyBorder="1"/>
    <xf numFmtId="166" fontId="0" fillId="0" borderId="0" xfId="2" applyNumberFormat="1" applyFont="1"/>
    <xf numFmtId="10" fontId="0" fillId="0" borderId="17" xfId="2" applyNumberFormat="1" applyFont="1" applyBorder="1" applyAlignment="1">
      <alignment horizontal="center"/>
    </xf>
    <xf numFmtId="10" fontId="12" fillId="0" borderId="13" xfId="2" applyNumberFormat="1" applyFont="1" applyBorder="1" applyAlignment="1">
      <alignment horizontal="center"/>
    </xf>
    <xf numFmtId="166" fontId="12" fillId="0" borderId="11" xfId="2" applyNumberFormat="1" applyFont="1" applyBorder="1" applyAlignment="1">
      <alignment horizontal="center"/>
    </xf>
    <xf numFmtId="166" fontId="9" fillId="0" borderId="12" xfId="2" applyNumberFormat="1" applyFont="1" applyBorder="1"/>
    <xf numFmtId="165" fontId="12" fillId="0" borderId="13" xfId="0" applyNumberFormat="1" applyFont="1" applyBorder="1" applyAlignment="1">
      <alignment horizontal="center"/>
    </xf>
    <xf numFmtId="165" fontId="12" fillId="0" borderId="11" xfId="0" applyNumberFormat="1" applyFont="1" applyBorder="1" applyAlignment="1">
      <alignment horizontal="center"/>
    </xf>
    <xf numFmtId="10" fontId="0" fillId="0" borderId="0" xfId="2" applyNumberFormat="1" applyFont="1"/>
    <xf numFmtId="0" fontId="7" fillId="5" borderId="18" xfId="0" applyFont="1" applyFill="1" applyBorder="1"/>
    <xf numFmtId="44" fontId="9" fillId="0" borderId="12" xfId="1" applyFont="1" applyBorder="1"/>
    <xf numFmtId="10" fontId="9" fillId="0" borderId="12" xfId="2" applyNumberFormat="1" applyFont="1" applyBorder="1"/>
    <xf numFmtId="166" fontId="0" fillId="0" borderId="0" xfId="2" applyNumberFormat="1" applyFont="1" applyAlignment="1">
      <alignment horizontal="center"/>
    </xf>
    <xf numFmtId="10" fontId="9" fillId="0" borderId="12" xfId="2" applyNumberFormat="1" applyFont="1" applyBorder="1" applyAlignment="1">
      <alignment horizontal="center"/>
    </xf>
    <xf numFmtId="0" fontId="0" fillId="0" borderId="14" xfId="0" applyBorder="1"/>
    <xf numFmtId="9" fontId="11" fillId="0" borderId="14" xfId="2" applyFont="1" applyBorder="1"/>
    <xf numFmtId="44" fontId="11" fillId="0" borderId="14" xfId="1" applyFont="1" applyBorder="1"/>
    <xf numFmtId="0" fontId="4" fillId="0" borderId="14" xfId="0" applyFont="1" applyBorder="1"/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7" fillId="5" borderId="22" xfId="0" applyFont="1" applyFill="1" applyBorder="1"/>
    <xf numFmtId="2" fontId="0" fillId="5" borderId="23" xfId="0" applyNumberFormat="1" applyFill="1" applyBorder="1" applyAlignment="1">
      <alignment horizontal="center"/>
    </xf>
    <xf numFmtId="2" fontId="0" fillId="5" borderId="24" xfId="0" applyNumberFormat="1" applyFill="1" applyBorder="1" applyAlignment="1">
      <alignment horizontal="center"/>
    </xf>
    <xf numFmtId="2" fontId="0" fillId="5" borderId="25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54"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008000"/>
      </font>
    </dxf>
    <dxf>
      <font>
        <color rgb="FFC000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color rgb="FF0061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DCA51-1DBF-4524-BAF8-E1BC8F6C3458}">
  <dimension ref="B1:Q195"/>
  <sheetViews>
    <sheetView tabSelected="1" workbookViewId="0">
      <selection activeCell="B1" sqref="B1:Q195"/>
    </sheetView>
  </sheetViews>
  <sheetFormatPr defaultRowHeight="14.4" x14ac:dyDescent="0.3"/>
  <cols>
    <col min="2" max="2" width="41.5546875" bestFit="1" customWidth="1"/>
    <col min="3" max="3" width="14.88671875" bestFit="1" customWidth="1"/>
    <col min="4" max="4" width="15.109375" bestFit="1" customWidth="1"/>
    <col min="5" max="5" width="14.109375" bestFit="1" customWidth="1"/>
    <col min="6" max="7" width="14.88671875" bestFit="1" customWidth="1"/>
    <col min="8" max="8" width="14.109375" bestFit="1" customWidth="1"/>
    <col min="9" max="10" width="14.88671875" bestFit="1" customWidth="1"/>
    <col min="11" max="11" width="15.77734375" bestFit="1" customWidth="1"/>
    <col min="12" max="12" width="15.109375" bestFit="1" customWidth="1"/>
    <col min="13" max="13" width="15.88671875" bestFit="1" customWidth="1"/>
    <col min="14" max="14" width="14.77734375" bestFit="1" customWidth="1"/>
    <col min="15" max="16" width="14.88671875" bestFit="1" customWidth="1"/>
    <col min="17" max="17" width="14.77734375" bestFit="1" customWidth="1"/>
  </cols>
  <sheetData>
    <row r="1" spans="2:17" ht="15" thickBot="1" x14ac:dyDescent="0.35">
      <c r="C1" s="1" t="s">
        <v>0</v>
      </c>
      <c r="D1" s="2"/>
      <c r="E1" s="3"/>
      <c r="F1" s="1" t="s">
        <v>1</v>
      </c>
      <c r="G1" s="2"/>
      <c r="H1" s="3"/>
      <c r="I1" s="1" t="s">
        <v>2</v>
      </c>
      <c r="J1" s="2"/>
      <c r="K1" s="3"/>
      <c r="L1" s="1" t="s">
        <v>3</v>
      </c>
      <c r="M1" s="2"/>
      <c r="N1" s="3"/>
      <c r="O1" s="1" t="s">
        <v>4</v>
      </c>
      <c r="P1" s="2"/>
      <c r="Q1" s="3"/>
    </row>
    <row r="2" spans="2:17" x14ac:dyDescent="0.3">
      <c r="B2" s="4" t="s">
        <v>5</v>
      </c>
      <c r="C2" s="5" t="s">
        <v>6</v>
      </c>
      <c r="D2" s="6" t="s">
        <v>7</v>
      </c>
      <c r="E2" s="7"/>
      <c r="F2" s="8" t="s">
        <v>8</v>
      </c>
      <c r="G2" s="6" t="s">
        <v>9</v>
      </c>
      <c r="H2" s="7"/>
      <c r="I2" s="8" t="s">
        <v>10</v>
      </c>
      <c r="J2" s="6" t="s">
        <v>11</v>
      </c>
      <c r="K2" s="7"/>
      <c r="L2" s="8" t="s">
        <v>12</v>
      </c>
      <c r="M2" s="6" t="s">
        <v>13</v>
      </c>
      <c r="N2" s="7"/>
      <c r="O2" s="8" t="s">
        <v>14</v>
      </c>
      <c r="P2" s="6" t="s">
        <v>15</v>
      </c>
      <c r="Q2" s="7"/>
    </row>
    <row r="3" spans="2:17" x14ac:dyDescent="0.3">
      <c r="B3" s="9" t="s">
        <v>16</v>
      </c>
      <c r="C3" s="10" t="s">
        <v>17</v>
      </c>
      <c r="D3" s="11" t="s">
        <v>18</v>
      </c>
      <c r="E3" s="12" t="s">
        <v>19</v>
      </c>
      <c r="F3" s="13" t="s">
        <v>17</v>
      </c>
      <c r="G3" s="11" t="s">
        <v>18</v>
      </c>
      <c r="H3" s="12" t="s">
        <v>19</v>
      </c>
      <c r="I3" s="13" t="s">
        <v>17</v>
      </c>
      <c r="J3" s="11" t="s">
        <v>18</v>
      </c>
      <c r="K3" s="12" t="s">
        <v>19</v>
      </c>
      <c r="L3" s="13" t="s">
        <v>17</v>
      </c>
      <c r="M3" s="11" t="s">
        <v>18</v>
      </c>
      <c r="N3" s="12" t="s">
        <v>19</v>
      </c>
      <c r="O3" s="13" t="s">
        <v>17</v>
      </c>
      <c r="P3" s="11" t="s">
        <v>18</v>
      </c>
      <c r="Q3" s="12" t="s">
        <v>19</v>
      </c>
    </row>
    <row r="4" spans="2:17" x14ac:dyDescent="0.3">
      <c r="B4" s="14" t="s">
        <v>20</v>
      </c>
      <c r="C4" s="15">
        <v>115</v>
      </c>
      <c r="D4" s="16">
        <v>115</v>
      </c>
      <c r="E4" s="17"/>
      <c r="F4" s="18">
        <v>108</v>
      </c>
      <c r="G4" s="16">
        <v>108</v>
      </c>
      <c r="H4" s="17"/>
      <c r="I4" s="18">
        <v>112</v>
      </c>
      <c r="J4" s="16">
        <v>112</v>
      </c>
      <c r="K4" s="17"/>
      <c r="L4" s="18">
        <v>272.39999999999998</v>
      </c>
      <c r="M4" s="16">
        <v>272.39999999999998</v>
      </c>
      <c r="N4" s="17"/>
      <c r="O4" s="18">
        <v>70</v>
      </c>
      <c r="P4" s="16">
        <v>70</v>
      </c>
      <c r="Q4" s="17"/>
    </row>
    <row r="5" spans="2:17" x14ac:dyDescent="0.3">
      <c r="B5" s="14" t="s">
        <v>21</v>
      </c>
      <c r="C5" s="19">
        <v>2280.217391304348</v>
      </c>
      <c r="D5" s="19">
        <v>2252.7130434782612</v>
      </c>
      <c r="E5" s="20">
        <v>27.504347826086814</v>
      </c>
      <c r="F5" s="21">
        <v>2547.2222222222222</v>
      </c>
      <c r="G5" s="22">
        <v>2221.1082407407407</v>
      </c>
      <c r="H5" s="20">
        <v>326.11398148148146</v>
      </c>
      <c r="I5" s="21">
        <v>2452.5892857142858</v>
      </c>
      <c r="J5" s="22">
        <v>2673.0816071428571</v>
      </c>
      <c r="K5" s="20">
        <v>-220.49232142857136</v>
      </c>
      <c r="L5" s="21">
        <v>1589.0914096916301</v>
      </c>
      <c r="M5" s="22">
        <v>1595.0183553597651</v>
      </c>
      <c r="N5" s="20">
        <v>-5.9269456681349766</v>
      </c>
      <c r="O5" s="21">
        <v>1821.8571428571429</v>
      </c>
      <c r="P5" s="22">
        <v>2387.1638571428571</v>
      </c>
      <c r="Q5" s="20">
        <v>-565.30671428571418</v>
      </c>
    </row>
    <row r="6" spans="2:17" x14ac:dyDescent="0.3">
      <c r="B6" s="14" t="s">
        <v>22</v>
      </c>
      <c r="C6" s="19">
        <v>303.30434782608694</v>
      </c>
      <c r="D6" s="19">
        <v>215</v>
      </c>
      <c r="E6" s="20">
        <v>88.304347826086939</v>
      </c>
      <c r="F6" s="21">
        <v>254.42592592592592</v>
      </c>
      <c r="G6" s="22">
        <v>260.60592592592593</v>
      </c>
      <c r="H6" s="20">
        <v>-6.1800000000000068</v>
      </c>
      <c r="I6" s="21">
        <v>210.35714285714286</v>
      </c>
      <c r="J6" s="22">
        <v>445.12053571428572</v>
      </c>
      <c r="K6" s="20">
        <v>-234.76339285714286</v>
      </c>
      <c r="L6" s="21">
        <v>77.349486049926583</v>
      </c>
      <c r="M6" s="22">
        <v>151.70521292217327</v>
      </c>
      <c r="N6" s="20">
        <v>-74.355726872246692</v>
      </c>
      <c r="O6" s="21">
        <v>359.28571428571428</v>
      </c>
      <c r="P6" s="22">
        <v>204.64857142857142</v>
      </c>
      <c r="Q6" s="20">
        <v>154.63714285714286</v>
      </c>
    </row>
    <row r="7" spans="2:17" x14ac:dyDescent="0.3">
      <c r="B7" s="14" t="s">
        <v>23</v>
      </c>
      <c r="C7" s="19">
        <v>0</v>
      </c>
      <c r="D7" s="19">
        <v>0</v>
      </c>
      <c r="E7" s="20">
        <v>0</v>
      </c>
      <c r="F7" s="21">
        <v>0</v>
      </c>
      <c r="G7" s="22">
        <v>0</v>
      </c>
      <c r="H7" s="20">
        <v>0</v>
      </c>
      <c r="I7" s="21">
        <v>118.74995959922431</v>
      </c>
      <c r="J7" s="22">
        <v>78.870535714285708</v>
      </c>
      <c r="K7" s="20">
        <v>39.879423884938603</v>
      </c>
      <c r="L7" s="21">
        <v>0</v>
      </c>
      <c r="M7" s="22">
        <v>0</v>
      </c>
      <c r="N7" s="20">
        <v>0</v>
      </c>
      <c r="O7" s="21">
        <v>0</v>
      </c>
      <c r="P7" s="22">
        <v>0</v>
      </c>
      <c r="Q7" s="20">
        <v>0</v>
      </c>
    </row>
    <row r="8" spans="2:17" x14ac:dyDescent="0.3">
      <c r="B8" s="14" t="s">
        <v>24</v>
      </c>
      <c r="C8" s="19">
        <v>2583.521739130435</v>
      </c>
      <c r="D8" s="19">
        <v>2467.7130434782607</v>
      </c>
      <c r="E8" s="20">
        <v>115.80869565217426</v>
      </c>
      <c r="F8" s="21">
        <v>2801.6481481481483</v>
      </c>
      <c r="G8" s="22">
        <v>2481.7141666666666</v>
      </c>
      <c r="H8" s="20">
        <v>319.93398148148162</v>
      </c>
      <c r="I8" s="21">
        <v>2781.6963881706529</v>
      </c>
      <c r="J8" s="22">
        <v>3197.0726785714287</v>
      </c>
      <c r="K8" s="20">
        <v>-415.37629040077582</v>
      </c>
      <c r="L8" s="21">
        <v>1666.4408957415567</v>
      </c>
      <c r="M8" s="22">
        <v>1746.7235682819385</v>
      </c>
      <c r="N8" s="20">
        <v>-80.282672540381782</v>
      </c>
      <c r="O8" s="21">
        <v>2181.1428571428573</v>
      </c>
      <c r="P8" s="22">
        <v>2591.8124285714284</v>
      </c>
      <c r="Q8" s="20">
        <v>-410.66957142857109</v>
      </c>
    </row>
    <row r="9" spans="2:17" x14ac:dyDescent="0.3">
      <c r="B9" s="23" t="s">
        <v>25</v>
      </c>
      <c r="C9" s="24"/>
      <c r="D9" s="25"/>
      <c r="E9" s="26"/>
      <c r="F9" s="27"/>
      <c r="G9" s="25"/>
      <c r="H9" s="26"/>
      <c r="I9" s="27"/>
      <c r="J9" s="25"/>
      <c r="K9" s="26"/>
      <c r="L9" s="27"/>
      <c r="M9" s="25"/>
      <c r="N9" s="26"/>
      <c r="O9" s="27"/>
      <c r="P9" s="25"/>
      <c r="Q9" s="26"/>
    </row>
    <row r="10" spans="2:17" x14ac:dyDescent="0.3">
      <c r="B10" s="28" t="s">
        <v>26</v>
      </c>
      <c r="C10" s="29">
        <v>61425232.4026049</v>
      </c>
      <c r="D10" s="29">
        <v>59756351.549999982</v>
      </c>
      <c r="E10" s="30">
        <v>1668880.8526049182</v>
      </c>
      <c r="F10" s="29">
        <v>65784591.854008436</v>
      </c>
      <c r="G10" s="29">
        <v>60221331.243229829</v>
      </c>
      <c r="H10" s="30">
        <v>5563260.6107786074</v>
      </c>
      <c r="I10" s="29">
        <v>56385027.206689425</v>
      </c>
      <c r="J10" s="29">
        <v>61451781.591425866</v>
      </c>
      <c r="K10" s="30">
        <v>-5066754.3847364411</v>
      </c>
      <c r="L10" s="29">
        <v>113104804.89075752</v>
      </c>
      <c r="M10" s="29">
        <v>112679872.87791501</v>
      </c>
      <c r="N10" s="30">
        <v>424932.01284250617</v>
      </c>
      <c r="O10" s="29">
        <v>25369174.251599252</v>
      </c>
      <c r="P10" s="29">
        <v>25839885.546631847</v>
      </c>
      <c r="Q10" s="30">
        <v>-470711.29503259435</v>
      </c>
    </row>
    <row r="11" spans="2:17" x14ac:dyDescent="0.3">
      <c r="B11" s="28" t="s">
        <v>27</v>
      </c>
      <c r="C11" s="29">
        <v>7739173.3496335763</v>
      </c>
      <c r="D11" s="29">
        <v>6342719.4900000002</v>
      </c>
      <c r="E11" s="30">
        <v>1396453.8596335761</v>
      </c>
      <c r="F11" s="29">
        <v>6514639.6692004008</v>
      </c>
      <c r="G11" s="29">
        <v>6238462.7599999923</v>
      </c>
      <c r="H11" s="30">
        <v>276176.9092004085</v>
      </c>
      <c r="I11" s="29">
        <v>13321398.635344476</v>
      </c>
      <c r="J11" s="29">
        <v>19223848.218891811</v>
      </c>
      <c r="K11" s="30">
        <v>-5902449.5835473351</v>
      </c>
      <c r="L11" s="29">
        <v>2845027.3323493754</v>
      </c>
      <c r="M11" s="29">
        <v>3733876.2599999947</v>
      </c>
      <c r="N11" s="30">
        <v>-888848.9276506193</v>
      </c>
      <c r="O11" s="29">
        <v>4835065.9192185402</v>
      </c>
      <c r="P11" s="29">
        <v>5774526.2769350661</v>
      </c>
      <c r="Q11" s="30">
        <v>-939460.3577165259</v>
      </c>
    </row>
    <row r="12" spans="2:17" x14ac:dyDescent="0.3">
      <c r="B12" s="28" t="s">
        <v>28</v>
      </c>
      <c r="C12" s="29">
        <v>0</v>
      </c>
      <c r="D12" s="31">
        <v>0</v>
      </c>
      <c r="E12" s="30">
        <v>0</v>
      </c>
      <c r="F12" s="29">
        <v>0</v>
      </c>
      <c r="G12" s="31">
        <v>0</v>
      </c>
      <c r="H12" s="30">
        <v>0</v>
      </c>
      <c r="I12" s="29">
        <v>1308574.9646602729</v>
      </c>
      <c r="J12" s="32">
        <v>957138.4099999998</v>
      </c>
      <c r="K12" s="30">
        <v>351436.55466027313</v>
      </c>
      <c r="L12" s="29">
        <v>0</v>
      </c>
      <c r="M12" s="32">
        <v>0</v>
      </c>
      <c r="N12" s="30">
        <v>0</v>
      </c>
      <c r="O12" s="29">
        <v>0</v>
      </c>
      <c r="P12" s="32">
        <v>0</v>
      </c>
      <c r="Q12" s="30">
        <v>0</v>
      </c>
    </row>
    <row r="13" spans="2:17" x14ac:dyDescent="0.3">
      <c r="B13" s="28" t="s">
        <v>29</v>
      </c>
      <c r="C13" s="29">
        <v>69164405.752238482</v>
      </c>
      <c r="D13" s="29">
        <v>66099071.039999984</v>
      </c>
      <c r="E13" s="30">
        <v>3065334.712238498</v>
      </c>
      <c r="F13" s="29">
        <v>72299231.523208842</v>
      </c>
      <c r="G13" s="29">
        <v>66459794.003229819</v>
      </c>
      <c r="H13" s="30">
        <v>5839437.5199790224</v>
      </c>
      <c r="I13" s="29">
        <v>71015000.80669418</v>
      </c>
      <c r="J13" s="29">
        <v>81632768.220317632</v>
      </c>
      <c r="K13" s="30">
        <v>-10617767.413623452</v>
      </c>
      <c r="L13" s="29">
        <v>115949832.22310689</v>
      </c>
      <c r="M13" s="29">
        <v>116413749.137915</v>
      </c>
      <c r="N13" s="30">
        <v>-463916.9148081094</v>
      </c>
      <c r="O13" s="29">
        <v>30204240.170817792</v>
      </c>
      <c r="P13" s="29">
        <v>31614411.823566914</v>
      </c>
      <c r="Q13" s="30">
        <v>-1410171.6527491212</v>
      </c>
    </row>
    <row r="14" spans="2:17" x14ac:dyDescent="0.3">
      <c r="B14" s="33" t="s">
        <v>30</v>
      </c>
      <c r="C14" s="34">
        <v>262225</v>
      </c>
      <c r="D14" s="34">
        <v>259062.00000000003</v>
      </c>
      <c r="E14" s="35">
        <v>3162.9999999999709</v>
      </c>
      <c r="F14" s="34">
        <v>275100</v>
      </c>
      <c r="G14" s="34">
        <v>239879.69</v>
      </c>
      <c r="H14" s="35">
        <v>35220.31</v>
      </c>
      <c r="I14" s="34">
        <v>274690</v>
      </c>
      <c r="J14" s="34">
        <v>299385.14</v>
      </c>
      <c r="K14" s="35">
        <v>-24695.140000000014</v>
      </c>
      <c r="L14" s="34">
        <v>432868.5</v>
      </c>
      <c r="M14" s="34">
        <v>434483</v>
      </c>
      <c r="N14" s="35">
        <v>-1614.5</v>
      </c>
      <c r="O14" s="34">
        <v>127530</v>
      </c>
      <c r="P14" s="34">
        <v>167101.47</v>
      </c>
      <c r="Q14" s="35">
        <v>-39571.47</v>
      </c>
    </row>
    <row r="15" spans="2:17" x14ac:dyDescent="0.3">
      <c r="B15" s="33" t="s">
        <v>31</v>
      </c>
      <c r="C15" s="34">
        <v>34880</v>
      </c>
      <c r="D15" s="34">
        <v>24725</v>
      </c>
      <c r="E15" s="35">
        <v>10155</v>
      </c>
      <c r="F15" s="34">
        <v>27478</v>
      </c>
      <c r="G15" s="34">
        <v>28145.440000000002</v>
      </c>
      <c r="H15" s="35">
        <v>-667.44000000000233</v>
      </c>
      <c r="I15" s="34">
        <v>23560</v>
      </c>
      <c r="J15" s="34">
        <v>49853.5</v>
      </c>
      <c r="K15" s="35">
        <v>-26293.5</v>
      </c>
      <c r="L15" s="34">
        <v>21070</v>
      </c>
      <c r="M15" s="34">
        <v>41324.5</v>
      </c>
      <c r="N15" s="35">
        <v>-20254.5</v>
      </c>
      <c r="O15" s="34">
        <v>25150</v>
      </c>
      <c r="P15" s="34">
        <v>14325.4</v>
      </c>
      <c r="Q15" s="35">
        <v>10824.6</v>
      </c>
    </row>
    <row r="16" spans="2:17" x14ac:dyDescent="0.3">
      <c r="B16" s="33" t="s">
        <v>32</v>
      </c>
      <c r="C16" s="34">
        <v>0</v>
      </c>
      <c r="D16" s="34"/>
      <c r="E16" s="35">
        <v>0</v>
      </c>
      <c r="F16" s="34">
        <v>0</v>
      </c>
      <c r="G16" s="34">
        <v>0</v>
      </c>
      <c r="H16" s="35"/>
      <c r="I16" s="34">
        <v>13299.995475113123</v>
      </c>
      <c r="J16" s="34">
        <v>8833.5</v>
      </c>
      <c r="K16" s="35"/>
      <c r="L16" s="34">
        <v>0</v>
      </c>
      <c r="M16" s="34">
        <v>0</v>
      </c>
      <c r="N16" s="35"/>
      <c r="O16" s="34">
        <v>0</v>
      </c>
      <c r="P16" s="34">
        <v>0</v>
      </c>
      <c r="Q16" s="35"/>
    </row>
    <row r="17" spans="2:17" x14ac:dyDescent="0.3">
      <c r="B17" s="33" t="s">
        <v>33</v>
      </c>
      <c r="C17" s="36">
        <v>297105</v>
      </c>
      <c r="D17" s="36">
        <v>283787</v>
      </c>
      <c r="E17" s="35">
        <v>13318</v>
      </c>
      <c r="F17" s="36">
        <v>302578</v>
      </c>
      <c r="G17" s="36">
        <v>268025.13</v>
      </c>
      <c r="H17" s="35">
        <v>34552.869999999995</v>
      </c>
      <c r="I17" s="36">
        <v>311549.9954751131</v>
      </c>
      <c r="J17" s="36">
        <v>358072.14</v>
      </c>
      <c r="K17" s="35">
        <v>-46522.144524886913</v>
      </c>
      <c r="L17" s="36">
        <v>453938.5</v>
      </c>
      <c r="M17" s="36">
        <v>475807.5</v>
      </c>
      <c r="N17" s="35">
        <v>-21869</v>
      </c>
      <c r="O17" s="36">
        <v>152680</v>
      </c>
      <c r="P17" s="36">
        <v>181426.87</v>
      </c>
      <c r="Q17" s="35">
        <v>-28746.869999999995</v>
      </c>
    </row>
    <row r="18" spans="2:17" x14ac:dyDescent="0.3">
      <c r="B18" s="28" t="s">
        <v>34</v>
      </c>
      <c r="C18" s="31">
        <v>1</v>
      </c>
      <c r="D18" s="37">
        <v>1.0279280914800917</v>
      </c>
      <c r="E18" s="38"/>
      <c r="F18" s="31">
        <v>1</v>
      </c>
      <c r="G18" s="37">
        <v>1.0923802329827115</v>
      </c>
      <c r="H18" s="38"/>
      <c r="I18" s="31">
        <v>1</v>
      </c>
      <c r="J18" s="37">
        <v>0.91754910511099996</v>
      </c>
      <c r="K18" s="38"/>
      <c r="L18" s="31">
        <v>1</v>
      </c>
      <c r="M18" s="37">
        <v>1.0037711438785781</v>
      </c>
      <c r="N18" s="38"/>
      <c r="O18" s="31">
        <v>1</v>
      </c>
      <c r="P18" s="37">
        <v>0.98178353792693362</v>
      </c>
      <c r="Q18" s="38"/>
    </row>
    <row r="19" spans="2:17" x14ac:dyDescent="0.3">
      <c r="B19" s="28" t="s">
        <v>35</v>
      </c>
      <c r="C19" s="31">
        <v>1</v>
      </c>
      <c r="D19" s="37">
        <v>1.2201664225944786</v>
      </c>
      <c r="E19" s="38"/>
      <c r="F19" s="31">
        <v>1</v>
      </c>
      <c r="G19" s="37">
        <v>1.0442700260986104</v>
      </c>
      <c r="H19" s="38"/>
      <c r="I19" s="31">
        <v>1</v>
      </c>
      <c r="J19" s="37">
        <v>0.69296212098955123</v>
      </c>
      <c r="K19" s="38"/>
      <c r="L19" s="31">
        <v>1</v>
      </c>
      <c r="M19" s="37">
        <v>0.76195008464189962</v>
      </c>
      <c r="N19" s="38"/>
      <c r="O19" s="31">
        <v>1</v>
      </c>
      <c r="P19" s="37">
        <v>0.83730953628716343</v>
      </c>
      <c r="Q19" s="38"/>
    </row>
    <row r="20" spans="2:17" x14ac:dyDescent="0.3">
      <c r="B20" s="28" t="s">
        <v>36</v>
      </c>
      <c r="C20" s="31">
        <v>1</v>
      </c>
      <c r="D20" s="37">
        <v>1.0463748531410297</v>
      </c>
      <c r="E20" s="38"/>
      <c r="F20" s="31">
        <v>1</v>
      </c>
      <c r="G20" s="37">
        <v>1.0878642133572554</v>
      </c>
      <c r="H20" s="38"/>
      <c r="I20" s="31">
        <v>1</v>
      </c>
      <c r="J20" s="37">
        <v>0.86993253266914461</v>
      </c>
      <c r="K20" s="38"/>
      <c r="L20" s="31">
        <v>1</v>
      </c>
      <c r="M20" s="37">
        <v>0.99601493021018928</v>
      </c>
      <c r="N20" s="38"/>
      <c r="O20" s="31">
        <v>1</v>
      </c>
      <c r="P20" s="37">
        <v>0.95539465796109135</v>
      </c>
      <c r="Q20" s="38"/>
    </row>
    <row r="21" spans="2:17" x14ac:dyDescent="0.3">
      <c r="B21" s="28" t="s">
        <v>37</v>
      </c>
      <c r="C21" s="31">
        <v>1</v>
      </c>
      <c r="D21" s="37">
        <v>1.0122094324910638</v>
      </c>
      <c r="E21" s="38"/>
      <c r="F21" s="31">
        <v>1</v>
      </c>
      <c r="G21" s="37">
        <v>1.1468248937623688</v>
      </c>
      <c r="H21" s="38"/>
      <c r="I21" s="31">
        <v>1</v>
      </c>
      <c r="J21" s="37">
        <v>0.91751380846758124</v>
      </c>
      <c r="K21" s="38"/>
      <c r="L21" s="31">
        <v>1</v>
      </c>
      <c r="M21" s="37">
        <v>0.99628408936598212</v>
      </c>
      <c r="N21" s="38"/>
      <c r="O21" s="31">
        <v>1</v>
      </c>
      <c r="P21" s="37">
        <v>0.76318897733215629</v>
      </c>
      <c r="Q21" s="38"/>
    </row>
    <row r="22" spans="2:17" x14ac:dyDescent="0.3">
      <c r="B22" s="28" t="s">
        <v>38</v>
      </c>
      <c r="C22" s="31"/>
      <c r="D22" s="37"/>
      <c r="E22" s="38"/>
      <c r="F22" s="31">
        <v>1</v>
      </c>
      <c r="G22" s="37">
        <v>0.97628603425634841</v>
      </c>
      <c r="H22" s="38"/>
      <c r="I22" s="31">
        <v>1</v>
      </c>
      <c r="J22" s="37">
        <v>0.47258467309216001</v>
      </c>
      <c r="K22" s="38"/>
      <c r="L22" s="31">
        <v>1</v>
      </c>
      <c r="M22" s="37">
        <v>0.50986702803421702</v>
      </c>
      <c r="N22" s="38"/>
      <c r="O22" s="31">
        <v>1</v>
      </c>
      <c r="P22" s="37">
        <v>1.7556228796403592</v>
      </c>
      <c r="Q22" s="38"/>
    </row>
    <row r="23" spans="2:17" x14ac:dyDescent="0.3">
      <c r="B23" s="28" t="s">
        <v>39</v>
      </c>
      <c r="C23" s="31">
        <v>1</v>
      </c>
      <c r="D23" s="37">
        <v>1.4107178968655207</v>
      </c>
      <c r="E23" s="38"/>
      <c r="F23" s="31"/>
      <c r="G23" s="37"/>
      <c r="H23" s="38"/>
      <c r="I23" s="31">
        <v>1</v>
      </c>
      <c r="J23" s="37">
        <v>1.5056314569664484</v>
      </c>
      <c r="K23" s="38"/>
      <c r="L23" s="31">
        <v>1</v>
      </c>
      <c r="M23" s="37" t="s">
        <v>40</v>
      </c>
      <c r="N23" s="38"/>
      <c r="O23" s="31"/>
      <c r="P23" s="37"/>
      <c r="Q23" s="38"/>
    </row>
    <row r="24" spans="2:17" x14ac:dyDescent="0.3">
      <c r="B24" s="28" t="s">
        <v>41</v>
      </c>
      <c r="C24" s="31">
        <v>1</v>
      </c>
      <c r="D24" s="37">
        <v>1.0469295633697104</v>
      </c>
      <c r="E24" s="38"/>
      <c r="F24" s="31">
        <v>1</v>
      </c>
      <c r="G24" s="37">
        <v>1.1289165310730378</v>
      </c>
      <c r="H24" s="38"/>
      <c r="I24" s="31">
        <v>1</v>
      </c>
      <c r="J24" s="37">
        <v>0.87007605639219265</v>
      </c>
      <c r="K24" s="38"/>
      <c r="L24" s="31">
        <v>1</v>
      </c>
      <c r="M24" s="37">
        <v>0.95403813517021063</v>
      </c>
      <c r="N24" s="38"/>
      <c r="O24" s="31">
        <v>1</v>
      </c>
      <c r="P24" s="37">
        <v>0.84155119911400111</v>
      </c>
      <c r="Q24" s="38"/>
    </row>
    <row r="25" spans="2:17" x14ac:dyDescent="0.3">
      <c r="B25" s="28" t="s">
        <v>42</v>
      </c>
      <c r="C25" s="29">
        <v>0.60142961523685634</v>
      </c>
      <c r="D25" s="29">
        <v>0.57477453078260854</v>
      </c>
      <c r="E25" s="30">
        <v>2.6655084454247802E-2</v>
      </c>
      <c r="F25" s="29">
        <v>0.66943732891860031</v>
      </c>
      <c r="G25" s="29">
        <v>0.61536846299286874</v>
      </c>
      <c r="H25" s="30">
        <v>5.4068865925731568E-2</v>
      </c>
      <c r="I25" s="29">
        <v>0.63406250720262658</v>
      </c>
      <c r="J25" s="29">
        <v>0.72886400196712176</v>
      </c>
      <c r="K25" s="30">
        <v>-9.4801494764495176E-2</v>
      </c>
      <c r="L25" s="29">
        <v>0.42566017703049525</v>
      </c>
      <c r="M25" s="29">
        <v>0.42736324940497433</v>
      </c>
      <c r="N25" s="30">
        <v>-1.7030723744790865E-3</v>
      </c>
      <c r="O25" s="29">
        <v>0.43148914529739707</v>
      </c>
      <c r="P25" s="29">
        <v>0.45163445462238444</v>
      </c>
      <c r="Q25" s="30">
        <v>-2.014530932498737E-2</v>
      </c>
    </row>
    <row r="26" spans="2:17" x14ac:dyDescent="0.3">
      <c r="B26" s="28" t="s">
        <v>43</v>
      </c>
      <c r="C26" s="29">
        <v>0.6676340081048977</v>
      </c>
      <c r="D26" s="29">
        <v>0.69553086897446292</v>
      </c>
      <c r="E26" s="30">
        <v>-2.7896860869565221E-2</v>
      </c>
      <c r="F26" s="29">
        <v>0.74318410217331965</v>
      </c>
      <c r="G26" s="29">
        <v>0.76703921930294938</v>
      </c>
      <c r="H26" s="30">
        <v>-2.3855117129629733E-2</v>
      </c>
      <c r="I26" s="29">
        <v>0.67279201007437606</v>
      </c>
      <c r="J26" s="29">
        <v>0.70394133444937601</v>
      </c>
      <c r="K26" s="30">
        <v>-3.1149324374999954E-2</v>
      </c>
      <c r="L26" s="29">
        <v>0.46904894468305197</v>
      </c>
      <c r="M26" s="29">
        <v>0.47088727236293448</v>
      </c>
      <c r="N26" s="30">
        <v>-1.8383276798825121E-3</v>
      </c>
      <c r="O26" s="29">
        <v>0.47884606105714278</v>
      </c>
      <c r="P26" s="29">
        <v>0.51059625905714279</v>
      </c>
      <c r="Q26" s="30">
        <v>-3.1750198000000007E-2</v>
      </c>
    </row>
    <row r="27" spans="2:17" x14ac:dyDescent="0.3">
      <c r="B27" s="39" t="s">
        <v>44</v>
      </c>
      <c r="C27" s="40">
        <v>76777910.932063237</v>
      </c>
      <c r="D27" s="40">
        <v>79986049.932063237</v>
      </c>
      <c r="E27" s="30">
        <v>3208139</v>
      </c>
      <c r="F27" s="40">
        <v>80263883.034718528</v>
      </c>
      <c r="G27" s="40">
        <v>82840235.684718534</v>
      </c>
      <c r="H27" s="30">
        <v>2576352.650000006</v>
      </c>
      <c r="I27" s="40">
        <v>75352705.128330112</v>
      </c>
      <c r="J27" s="40">
        <v>78841429.45833011</v>
      </c>
      <c r="K27" s="30">
        <v>3488724.3299999982</v>
      </c>
      <c r="L27" s="40">
        <v>127768932.53166334</v>
      </c>
      <c r="M27" s="40">
        <v>128269692.99166334</v>
      </c>
      <c r="N27" s="30">
        <v>500760.45999999344</v>
      </c>
      <c r="O27" s="40">
        <v>33519224.273999996</v>
      </c>
      <c r="P27" s="40">
        <v>35741738.133999996</v>
      </c>
      <c r="Q27" s="30">
        <v>2222513.8599999994</v>
      </c>
    </row>
    <row r="28" spans="2:17" x14ac:dyDescent="0.3">
      <c r="B28" s="23" t="s">
        <v>45</v>
      </c>
      <c r="C28" s="27"/>
      <c r="D28" s="25"/>
      <c r="E28" s="26"/>
      <c r="F28" s="27"/>
      <c r="G28" s="25"/>
      <c r="H28" s="26"/>
      <c r="I28" s="27"/>
      <c r="J28" s="25"/>
      <c r="K28" s="26"/>
      <c r="L28" s="27"/>
      <c r="M28" s="25"/>
      <c r="N28" s="26"/>
      <c r="O28" s="27"/>
      <c r="P28" s="25"/>
      <c r="Q28" s="26"/>
    </row>
    <row r="29" spans="2:17" x14ac:dyDescent="0.3">
      <c r="B29" s="28" t="s">
        <v>46</v>
      </c>
      <c r="C29" s="41">
        <v>60.62</v>
      </c>
      <c r="D29" s="29">
        <v>56.719553065512187</v>
      </c>
      <c r="E29" s="30">
        <v>3.9004469344878103</v>
      </c>
      <c r="F29" s="29">
        <v>64.126743807779476</v>
      </c>
      <c r="G29" s="29">
        <v>30.954861692969921</v>
      </c>
      <c r="H29" s="30"/>
      <c r="I29" s="29">
        <v>46.000476023415992</v>
      </c>
      <c r="J29" s="29">
        <v>47.598203082502437</v>
      </c>
      <c r="K29" s="30">
        <v>-1.597727059086445</v>
      </c>
      <c r="L29" s="29">
        <v>47.93002302694299</v>
      </c>
      <c r="M29" s="29">
        <v>46.668654463853578</v>
      </c>
      <c r="N29" s="30"/>
      <c r="O29" s="29">
        <v>48.455034260990296</v>
      </c>
      <c r="P29" s="29">
        <v>73.618539601933264</v>
      </c>
      <c r="Q29" s="30"/>
    </row>
    <row r="30" spans="2:17" x14ac:dyDescent="0.3">
      <c r="B30" s="28" t="s">
        <v>47</v>
      </c>
      <c r="D30" s="29">
        <v>14.39053765836888</v>
      </c>
      <c r="E30" s="30">
        <v>-14.39053765836888</v>
      </c>
      <c r="F30">
        <v>0</v>
      </c>
      <c r="G30" s="29">
        <v>0</v>
      </c>
      <c r="H30" s="30"/>
      <c r="I30">
        <v>0</v>
      </c>
      <c r="J30" s="29">
        <v>9.3043610758537341</v>
      </c>
      <c r="K30" s="30">
        <v>-9.3043610758537341</v>
      </c>
      <c r="L30">
        <v>0</v>
      </c>
      <c r="M30" s="29">
        <v>0</v>
      </c>
      <c r="N30" s="30"/>
      <c r="O30">
        <v>0</v>
      </c>
      <c r="P30" s="29">
        <v>34.382214759603585</v>
      </c>
      <c r="Q30" s="30"/>
    </row>
    <row r="31" spans="2:17" x14ac:dyDescent="0.3">
      <c r="B31" s="28" t="s">
        <v>48</v>
      </c>
      <c r="C31" s="29">
        <v>60.62</v>
      </c>
      <c r="D31" s="29">
        <v>71.110090723881072</v>
      </c>
      <c r="E31" s="30">
        <v>-10.490090723881075</v>
      </c>
      <c r="F31" s="29">
        <v>64.126743807779476</v>
      </c>
      <c r="G31" s="29">
        <v>30.954861692969921</v>
      </c>
      <c r="H31" s="30">
        <v>33.171882114809556</v>
      </c>
      <c r="I31" s="29">
        <v>46.000476023415992</v>
      </c>
      <c r="J31" s="29">
        <v>56.902564158356171</v>
      </c>
      <c r="K31" s="30">
        <v>-10.902088134940179</v>
      </c>
      <c r="L31" s="29">
        <v>47.93002302694299</v>
      </c>
      <c r="M31" s="29">
        <v>46.668654463853578</v>
      </c>
      <c r="N31" s="30">
        <v>1.2613685630894125</v>
      </c>
      <c r="O31" s="29">
        <v>48.455034260990296</v>
      </c>
      <c r="P31" s="29">
        <v>108.00075436153685</v>
      </c>
      <c r="Q31" s="30">
        <v>-59.545720100546554</v>
      </c>
    </row>
    <row r="32" spans="2:17" x14ac:dyDescent="0.3">
      <c r="B32" s="23" t="s">
        <v>49</v>
      </c>
      <c r="C32" s="27"/>
      <c r="D32" s="25"/>
      <c r="E32" s="26"/>
      <c r="F32" s="27"/>
      <c r="G32" s="25"/>
      <c r="H32" s="26"/>
      <c r="I32" s="27"/>
      <c r="J32" s="25"/>
      <c r="K32" s="26"/>
      <c r="L32" s="27"/>
      <c r="M32" s="25"/>
      <c r="N32" s="26"/>
      <c r="O32" s="27"/>
      <c r="P32" s="25"/>
      <c r="Q32" s="26"/>
    </row>
    <row r="33" spans="2:17" x14ac:dyDescent="0.3">
      <c r="B33" s="42" t="s">
        <v>50</v>
      </c>
      <c r="C33" s="43">
        <v>31501685.121825714</v>
      </c>
      <c r="D33" s="43">
        <v>31652756.030000005</v>
      </c>
      <c r="E33" s="30">
        <v>-151070.90817429125</v>
      </c>
      <c r="F33" s="43">
        <v>35124308.801285006</v>
      </c>
      <c r="G33" s="43">
        <v>33958479.149999991</v>
      </c>
      <c r="H33" s="30">
        <v>1165829.651285015</v>
      </c>
      <c r="I33" s="43">
        <v>0</v>
      </c>
      <c r="J33" s="43">
        <v>0</v>
      </c>
      <c r="K33" s="30">
        <v>0</v>
      </c>
      <c r="L33" s="43">
        <v>72448175.103274181</v>
      </c>
      <c r="M33" s="43">
        <v>70865525.250000015</v>
      </c>
      <c r="N33" s="30">
        <v>1582649.8532741666</v>
      </c>
      <c r="O33" s="43">
        <v>11507579.285966227</v>
      </c>
      <c r="P33" s="43">
        <v>8852516.8300000038</v>
      </c>
      <c r="Q33" s="30">
        <v>2655062.455966223</v>
      </c>
    </row>
    <row r="34" spans="2:17" x14ac:dyDescent="0.3">
      <c r="B34" s="42" t="s">
        <v>51</v>
      </c>
      <c r="C34" s="43">
        <v>16514108</v>
      </c>
      <c r="D34" s="43">
        <v>15965624.989999998</v>
      </c>
      <c r="E34" s="30">
        <v>548483.01000000164</v>
      </c>
      <c r="F34" s="43">
        <v>19300000</v>
      </c>
      <c r="G34" s="43">
        <v>13015342.51</v>
      </c>
      <c r="H34" s="30">
        <v>6284657.4900000002</v>
      </c>
      <c r="I34" s="43">
        <v>14880568.380000001</v>
      </c>
      <c r="J34" s="43">
        <v>13126741.1</v>
      </c>
      <c r="K34" s="30">
        <v>1753827.2800000012</v>
      </c>
      <c r="L34" s="43">
        <v>39991231.7557</v>
      </c>
      <c r="M34" s="43">
        <v>36896747.43</v>
      </c>
      <c r="N34" s="30">
        <v>3094484.3256999999</v>
      </c>
      <c r="O34" s="43">
        <v>4978058.7378500002</v>
      </c>
      <c r="P34" s="43">
        <v>4515550.84</v>
      </c>
      <c r="Q34" s="30">
        <v>462507.8978500003</v>
      </c>
    </row>
    <row r="35" spans="2:17" x14ac:dyDescent="0.3">
      <c r="B35" s="42" t="s">
        <v>52</v>
      </c>
      <c r="C35" s="43"/>
      <c r="D35" s="43"/>
      <c r="E35" s="30">
        <v>0</v>
      </c>
      <c r="F35" s="43"/>
      <c r="G35" s="43"/>
      <c r="H35" s="30">
        <v>0</v>
      </c>
      <c r="I35" s="43"/>
      <c r="J35" s="43"/>
      <c r="K35" s="30">
        <v>0</v>
      </c>
      <c r="L35" s="43"/>
      <c r="M35" s="43"/>
      <c r="N35" s="30">
        <v>0</v>
      </c>
      <c r="O35" s="43"/>
      <c r="P35" s="43"/>
      <c r="Q35" s="30">
        <v>0</v>
      </c>
    </row>
    <row r="36" spans="2:17" x14ac:dyDescent="0.3">
      <c r="B36" s="42" t="s">
        <v>53</v>
      </c>
      <c r="C36" s="43"/>
      <c r="D36" s="43"/>
      <c r="E36" s="30">
        <v>0</v>
      </c>
      <c r="F36" s="43"/>
      <c r="G36" s="43"/>
      <c r="H36" s="30">
        <v>0</v>
      </c>
      <c r="I36" s="43"/>
      <c r="J36" s="43"/>
      <c r="K36" s="30">
        <v>0</v>
      </c>
      <c r="L36" s="43"/>
      <c r="M36" s="43"/>
      <c r="N36" s="30">
        <v>0</v>
      </c>
      <c r="O36" s="43"/>
      <c r="P36" s="43"/>
      <c r="Q36" s="30">
        <v>0</v>
      </c>
    </row>
    <row r="37" spans="2:17" x14ac:dyDescent="0.3">
      <c r="B37" s="42" t="s">
        <v>54</v>
      </c>
      <c r="C37" s="43"/>
      <c r="D37" s="43"/>
      <c r="E37" s="30">
        <v>0</v>
      </c>
      <c r="F37" s="43"/>
      <c r="G37" s="43"/>
      <c r="H37" s="30">
        <v>0</v>
      </c>
      <c r="I37" s="43"/>
      <c r="J37" s="43"/>
      <c r="K37" s="30">
        <v>0</v>
      </c>
      <c r="L37" s="43"/>
      <c r="M37" s="43"/>
      <c r="N37" s="30">
        <v>0</v>
      </c>
      <c r="O37" s="43">
        <v>1491596.2891244511</v>
      </c>
      <c r="P37" s="43">
        <v>1720560.2500000005</v>
      </c>
      <c r="Q37" s="30">
        <v>-228963.96087554935</v>
      </c>
    </row>
    <row r="38" spans="2:17" x14ac:dyDescent="0.3">
      <c r="B38" s="42" t="s">
        <v>55</v>
      </c>
      <c r="C38" s="43">
        <v>4317100</v>
      </c>
      <c r="D38" s="43">
        <v>4677297.1899999995</v>
      </c>
      <c r="E38" s="30">
        <v>-360197.18999999948</v>
      </c>
      <c r="F38" s="43">
        <v>4830000</v>
      </c>
      <c r="G38" s="43">
        <v>4388462.3</v>
      </c>
      <c r="H38" s="30">
        <v>441537.70000000019</v>
      </c>
      <c r="I38" s="43">
        <v>4256150</v>
      </c>
      <c r="J38" s="43">
        <v>4432159.0799999936</v>
      </c>
      <c r="K38" s="30">
        <v>-176009.07999999356</v>
      </c>
      <c r="L38" s="43">
        <v>9252818.2799999993</v>
      </c>
      <c r="M38" s="43">
        <v>9444552.6199999992</v>
      </c>
      <c r="N38" s="30">
        <v>-191734.33999999985</v>
      </c>
      <c r="O38" s="43"/>
      <c r="P38" s="43"/>
      <c r="Q38" s="30">
        <v>0</v>
      </c>
    </row>
    <row r="39" spans="2:17" x14ac:dyDescent="0.3">
      <c r="B39" s="42" t="s">
        <v>56</v>
      </c>
      <c r="C39" s="43">
        <v>333606.55737704918</v>
      </c>
      <c r="D39" s="43">
        <v>529620.13000000024</v>
      </c>
      <c r="E39" s="30">
        <v>-196013.57262295106</v>
      </c>
      <c r="F39" s="43">
        <v>1490601.18</v>
      </c>
      <c r="G39" s="43">
        <v>439777.51999999897</v>
      </c>
      <c r="H39" s="30">
        <v>1050823.6600000011</v>
      </c>
      <c r="I39" s="43">
        <v>335847.54166666669</v>
      </c>
      <c r="J39" s="43">
        <v>235228.42166666695</v>
      </c>
      <c r="K39" s="30">
        <v>100619.11999999973</v>
      </c>
      <c r="L39" s="43">
        <v>0</v>
      </c>
      <c r="M39" s="43">
        <v>0</v>
      </c>
      <c r="N39" s="30">
        <v>0</v>
      </c>
      <c r="O39" s="43">
        <v>185612.79166666666</v>
      </c>
      <c r="P39" s="43">
        <v>58844.39</v>
      </c>
      <c r="Q39" s="30">
        <v>126768.40166666666</v>
      </c>
    </row>
    <row r="40" spans="2:17" x14ac:dyDescent="0.3">
      <c r="B40" s="42" t="s">
        <v>57</v>
      </c>
      <c r="C40" s="43">
        <v>944195.61441780289</v>
      </c>
      <c r="D40" s="43">
        <v>458965.98999999993</v>
      </c>
      <c r="E40" s="30">
        <v>485229.62441780296</v>
      </c>
      <c r="F40" s="43">
        <v>1141557.7776716633</v>
      </c>
      <c r="G40" s="43">
        <v>569346.67869538371</v>
      </c>
      <c r="H40" s="30">
        <v>572211.09897627961</v>
      </c>
      <c r="I40" s="43">
        <v>806972.17109210836</v>
      </c>
      <c r="J40" s="43">
        <v>895116.29000000015</v>
      </c>
      <c r="K40" s="30">
        <v>-88144.118907891796</v>
      </c>
      <c r="L40" s="43">
        <v>1062074.6339308547</v>
      </c>
      <c r="M40" s="43">
        <v>975670.03000000014</v>
      </c>
      <c r="N40" s="30">
        <v>86404.603930854588</v>
      </c>
      <c r="O40" s="43">
        <v>730527.93578312814</v>
      </c>
      <c r="P40" s="43">
        <v>370275.94999999995</v>
      </c>
      <c r="Q40" s="30">
        <v>360251.98578312818</v>
      </c>
    </row>
    <row r="41" spans="2:17" x14ac:dyDescent="0.3">
      <c r="B41" s="42" t="s">
        <v>58</v>
      </c>
      <c r="C41" s="43">
        <v>864564.21608794841</v>
      </c>
      <c r="D41" s="43">
        <v>913890.91999999946</v>
      </c>
      <c r="E41" s="30">
        <v>-49326.703912051045</v>
      </c>
      <c r="F41" s="43">
        <v>1443992.9811224309</v>
      </c>
      <c r="G41" s="43">
        <v>843469.04999999958</v>
      </c>
      <c r="H41" s="30">
        <v>600523.9311224313</v>
      </c>
      <c r="I41" s="43">
        <v>1330561.4513053582</v>
      </c>
      <c r="J41" s="43">
        <v>1265190.1699999906</v>
      </c>
      <c r="K41" s="30">
        <v>65371.281305367593</v>
      </c>
      <c r="L41" s="43">
        <v>1223058.0691688496</v>
      </c>
      <c r="M41" s="43">
        <v>1604613.2499999986</v>
      </c>
      <c r="N41" s="30">
        <v>-381555.18083114899</v>
      </c>
      <c r="O41" s="43">
        <v>676448.13766394055</v>
      </c>
      <c r="P41" s="43">
        <v>629845.37999999989</v>
      </c>
      <c r="Q41" s="30">
        <v>46602.757663940662</v>
      </c>
    </row>
    <row r="42" spans="2:17" x14ac:dyDescent="0.3">
      <c r="B42" s="42" t="s">
        <v>59</v>
      </c>
      <c r="C42" s="43">
        <v>1704786</v>
      </c>
      <c r="D42" s="43">
        <v>1869269.9400000002</v>
      </c>
      <c r="E42" s="30">
        <v>-164483.94000000018</v>
      </c>
      <c r="F42" s="43">
        <v>1539536</v>
      </c>
      <c r="G42" s="43">
        <v>1739214.4</v>
      </c>
      <c r="H42" s="30">
        <v>-199678.39999999991</v>
      </c>
      <c r="I42" s="43">
        <v>1686615</v>
      </c>
      <c r="J42" s="43">
        <v>2014501.53</v>
      </c>
      <c r="K42" s="30">
        <v>-327886.53000000003</v>
      </c>
      <c r="L42" s="43">
        <v>1400000</v>
      </c>
      <c r="M42" s="43">
        <v>1541297.48</v>
      </c>
      <c r="N42" s="30">
        <v>-141297.47999999998</v>
      </c>
      <c r="O42" s="43">
        <v>705995.2239857798</v>
      </c>
      <c r="P42" s="43">
        <v>1488998.58</v>
      </c>
      <c r="Q42" s="30">
        <v>-783003.35601422028</v>
      </c>
    </row>
    <row r="43" spans="2:17" x14ac:dyDescent="0.3">
      <c r="B43" s="42" t="s">
        <v>60</v>
      </c>
      <c r="C43" s="43">
        <v>14306773.854663054</v>
      </c>
      <c r="D43" s="43">
        <v>14387689.329999989</v>
      </c>
      <c r="E43" s="30">
        <v>-80915.475336935371</v>
      </c>
      <c r="F43" s="43">
        <v>14513032.375679998</v>
      </c>
      <c r="G43" s="43">
        <v>13686985.809999999</v>
      </c>
      <c r="H43" s="30">
        <v>826046.56567999907</v>
      </c>
      <c r="I43" s="43">
        <v>14750970.387370152</v>
      </c>
      <c r="J43" s="43">
        <v>18569304.622795515</v>
      </c>
      <c r="K43" s="30">
        <v>-3818334.2354253624</v>
      </c>
      <c r="L43" s="43">
        <v>19144459.712666668</v>
      </c>
      <c r="M43" s="43">
        <v>23285771.000000004</v>
      </c>
      <c r="N43" s="30">
        <v>-4141311.2873333357</v>
      </c>
      <c r="O43" s="43">
        <v>8073652.4939744873</v>
      </c>
      <c r="P43" s="43">
        <v>9187533.3399999961</v>
      </c>
      <c r="Q43" s="30">
        <v>-1113880.8460255088</v>
      </c>
    </row>
    <row r="44" spans="2:17" x14ac:dyDescent="0.3">
      <c r="B44" s="44" t="s">
        <v>61</v>
      </c>
      <c r="C44" s="43">
        <v>3352943.1943492964</v>
      </c>
      <c r="D44" s="43">
        <v>3998198.440000006</v>
      </c>
      <c r="E44" s="30">
        <v>-645255.24565070961</v>
      </c>
      <c r="F44" s="43">
        <v>4088807.0631130841</v>
      </c>
      <c r="G44" s="43">
        <v>3993203.0900000045</v>
      </c>
      <c r="H44" s="30">
        <v>95603.973113079555</v>
      </c>
      <c r="I44" s="43">
        <v>4096176.3763688882</v>
      </c>
      <c r="J44" s="43">
        <v>7325484.3343548877</v>
      </c>
      <c r="K44" s="30">
        <v>-3229307.9579859995</v>
      </c>
      <c r="L44" s="43">
        <v>4003689.5623996994</v>
      </c>
      <c r="M44" s="43">
        <v>7051513.189999992</v>
      </c>
      <c r="N44" s="30">
        <v>-3047823.6276002927</v>
      </c>
      <c r="O44" s="43">
        <v>2581967.3069012975</v>
      </c>
      <c r="P44" s="43">
        <v>3797597.2612216426</v>
      </c>
      <c r="Q44" s="30">
        <v>-1215629.9543203451</v>
      </c>
    </row>
    <row r="45" spans="2:17" x14ac:dyDescent="0.3">
      <c r="B45" s="23" t="s">
        <v>62</v>
      </c>
      <c r="C45" s="27"/>
      <c r="D45" s="25"/>
      <c r="E45" s="26"/>
      <c r="F45" s="27"/>
      <c r="G45" s="25"/>
      <c r="H45" s="26"/>
      <c r="I45" s="27"/>
      <c r="J45" s="25"/>
      <c r="K45" s="26"/>
      <c r="L45" s="27"/>
      <c r="M45" s="25"/>
      <c r="N45" s="26"/>
      <c r="O45" s="27"/>
      <c r="P45" s="25"/>
      <c r="Q45" s="26"/>
    </row>
    <row r="46" spans="2:17" x14ac:dyDescent="0.3">
      <c r="B46" s="45" t="s">
        <v>63</v>
      </c>
      <c r="C46" s="46">
        <v>0.2816020313165617</v>
      </c>
      <c r="D46" s="47">
        <v>0.11479319920899154</v>
      </c>
      <c r="E46" s="38">
        <v>0.16680883210757014</v>
      </c>
      <c r="F46" s="48">
        <v>0.27919091315659156</v>
      </c>
      <c r="G46" s="49">
        <v>0.12563434383198357</v>
      </c>
      <c r="H46" s="50">
        <v>0.15355656932460798</v>
      </c>
      <c r="I46" s="48">
        <v>0.19700620699528079</v>
      </c>
      <c r="J46" s="49">
        <v>0.12219209667845501</v>
      </c>
      <c r="K46" s="50">
        <v>7.4814110316825777E-2</v>
      </c>
      <c r="L46" s="51">
        <v>0.26527397226429239</v>
      </c>
      <c r="M46" s="52">
        <v>0.13836321420821185</v>
      </c>
      <c r="N46" s="38">
        <v>0.12691075805608054</v>
      </c>
      <c r="O46" s="51">
        <v>0.28293461881973181</v>
      </c>
      <c r="P46" s="52">
        <v>9.7502690393474353E-2</v>
      </c>
      <c r="Q46" s="38">
        <v>0.18543192842625744</v>
      </c>
    </row>
    <row r="47" spans="2:17" x14ac:dyDescent="0.3">
      <c r="B47" s="45" t="s">
        <v>64</v>
      </c>
      <c r="C47" s="53">
        <v>6.0430410438490172E-2</v>
      </c>
      <c r="D47" s="47">
        <v>6.3518950057840889E-2</v>
      </c>
      <c r="E47" s="38">
        <v>-3.0885396193507178E-3</v>
      </c>
      <c r="F47" s="48">
        <v>9.9496297103435188E-2</v>
      </c>
      <c r="G47" s="49">
        <v>6.1625624641456371E-2</v>
      </c>
      <c r="H47" s="50">
        <v>3.7870672461978817E-2</v>
      </c>
      <c r="I47" s="48">
        <v>9.020162174853194E-2</v>
      </c>
      <c r="J47" s="49">
        <v>6.8133416716469511E-2</v>
      </c>
      <c r="K47" s="50">
        <v>2.206820503206243E-2</v>
      </c>
      <c r="L47" s="51">
        <v>6.3885744885222862E-2</v>
      </c>
      <c r="M47" s="52">
        <v>6.8909603637345676E-2</v>
      </c>
      <c r="N47" s="38">
        <v>-5.0238587521228145E-3</v>
      </c>
      <c r="O47" s="51">
        <v>8.3784648666608577E-2</v>
      </c>
      <c r="P47" s="52">
        <v>6.8554350410662032E-2</v>
      </c>
      <c r="Q47" s="38">
        <v>1.5230298255946545E-2</v>
      </c>
    </row>
    <row r="48" spans="2:17" x14ac:dyDescent="0.3">
      <c r="B48" s="54" t="s">
        <v>65</v>
      </c>
      <c r="C48" s="24"/>
      <c r="D48" s="25"/>
      <c r="E48" s="26"/>
      <c r="F48" s="27"/>
      <c r="G48" s="25"/>
      <c r="H48" s="26"/>
      <c r="I48" s="27"/>
      <c r="J48" s="25"/>
      <c r="K48" s="26"/>
      <c r="L48" s="27">
        <v>9075000</v>
      </c>
      <c r="M48" s="25"/>
      <c r="N48" s="26"/>
      <c r="O48" s="27"/>
      <c r="P48" s="25"/>
      <c r="Q48" s="26"/>
    </row>
    <row r="49" spans="2:17" x14ac:dyDescent="0.3">
      <c r="B49" s="28" t="s">
        <v>66</v>
      </c>
      <c r="C49" s="41"/>
      <c r="D49" s="41">
        <v>175000</v>
      </c>
      <c r="E49" s="55"/>
      <c r="F49" s="41"/>
      <c r="G49" s="41">
        <v>200000</v>
      </c>
      <c r="H49" s="55"/>
      <c r="I49" s="41"/>
      <c r="J49" s="41">
        <v>0</v>
      </c>
      <c r="K49" s="55"/>
      <c r="L49" s="41">
        <v>0</v>
      </c>
      <c r="M49" s="41"/>
      <c r="N49" s="55"/>
      <c r="O49" s="41"/>
      <c r="P49" s="41">
        <v>200000</v>
      </c>
      <c r="Q49" s="55"/>
    </row>
    <row r="50" spans="2:17" x14ac:dyDescent="0.3">
      <c r="B50" s="28" t="s">
        <v>67</v>
      </c>
      <c r="C50" s="41">
        <v>1500000</v>
      </c>
      <c r="D50" s="41">
        <v>0</v>
      </c>
      <c r="E50" s="55"/>
      <c r="F50" s="41">
        <v>1125000</v>
      </c>
      <c r="G50" s="41"/>
      <c r="H50" s="55"/>
      <c r="I50" s="41"/>
      <c r="J50" s="41"/>
      <c r="K50" s="55"/>
      <c r="L50" s="41">
        <v>1304933.6416666668</v>
      </c>
      <c r="M50" s="41"/>
      <c r="N50" s="55"/>
      <c r="O50" s="41"/>
      <c r="P50" s="41"/>
      <c r="Q50" s="55"/>
    </row>
    <row r="51" spans="2:17" x14ac:dyDescent="0.3">
      <c r="B51" s="28" t="s">
        <v>68</v>
      </c>
      <c r="C51" s="41">
        <v>1498348</v>
      </c>
      <c r="D51" s="41">
        <v>0</v>
      </c>
      <c r="E51" s="55"/>
      <c r="F51" s="41"/>
      <c r="G51" s="41">
        <v>424573.01136874175</v>
      </c>
      <c r="H51" s="55"/>
      <c r="I51" s="41"/>
      <c r="J51" s="41">
        <v>34442.251666667376</v>
      </c>
      <c r="K51" s="55"/>
      <c r="L51" s="41"/>
      <c r="M51" s="41">
        <v>0</v>
      </c>
      <c r="N51" s="55"/>
      <c r="O51" s="41"/>
      <c r="P51" s="41">
        <v>0</v>
      </c>
      <c r="Q51" s="55"/>
    </row>
    <row r="52" spans="2:17" x14ac:dyDescent="0.3">
      <c r="B52" s="28" t="s">
        <v>69</v>
      </c>
      <c r="C52" s="41">
        <v>7613505.1758647487</v>
      </c>
      <c r="D52" s="41">
        <v>13886978.892063245</v>
      </c>
      <c r="E52" s="55">
        <v>6273473.7161984965</v>
      </c>
      <c r="F52" s="41">
        <v>7963692.5697283745</v>
      </c>
      <c r="G52" s="41">
        <v>16380441.681488708</v>
      </c>
      <c r="H52" s="55">
        <v>8416749.1117603332</v>
      </c>
      <c r="I52" s="41">
        <v>4337704.3233058453</v>
      </c>
      <c r="J52" s="41">
        <v>-2791338.761987552</v>
      </c>
      <c r="K52" s="55">
        <v>-7129043.0852933973</v>
      </c>
      <c r="L52" s="41">
        <v>11819100.308556467</v>
      </c>
      <c r="M52" s="41">
        <v>11855943.853748322</v>
      </c>
      <c r="N52" s="55">
        <v>36843.545191854239</v>
      </c>
      <c r="O52" s="41">
        <v>3314984.1031821929</v>
      </c>
      <c r="P52" s="41">
        <v>4127326.3104330674</v>
      </c>
      <c r="Q52" s="55">
        <v>812342.20725087449</v>
      </c>
    </row>
    <row r="53" spans="2:17" x14ac:dyDescent="0.3">
      <c r="B53" s="28" t="s">
        <v>70</v>
      </c>
      <c r="C53" s="41"/>
      <c r="D53" s="41">
        <v>0</v>
      </c>
      <c r="E53" s="55"/>
      <c r="F53" s="41"/>
      <c r="H53" s="55"/>
      <c r="I53" s="41"/>
      <c r="K53" s="55"/>
      <c r="L53" s="41"/>
      <c r="N53" s="55"/>
      <c r="O53" s="41"/>
      <c r="Q53" s="55"/>
    </row>
    <row r="54" spans="2:17" x14ac:dyDescent="0.3">
      <c r="B54" s="28" t="s">
        <v>71</v>
      </c>
      <c r="C54" s="46">
        <v>9.9162702962855315E-2</v>
      </c>
      <c r="D54" s="46">
        <v>0.17361751085168298</v>
      </c>
      <c r="E54" s="56">
        <v>7.4454807888827662E-2</v>
      </c>
      <c r="F54" s="46">
        <v>9.9230827245980036E-2</v>
      </c>
      <c r="G54" s="46">
        <v>0.1977353341174812</v>
      </c>
      <c r="H54" s="56">
        <v>9.8504506871501168E-2</v>
      </c>
      <c r="I54" s="57">
        <v>5.7565343065635065E-2</v>
      </c>
      <c r="J54" s="57">
        <v>-3.5404466676531431E-2</v>
      </c>
      <c r="K54" s="58">
        <v>-9.2969809742166495E-2</v>
      </c>
      <c r="L54" s="53">
        <v>9.2503710208485079E-2</v>
      </c>
      <c r="M54" s="53">
        <v>9.2429813911840242E-2</v>
      </c>
      <c r="N54" s="56">
        <v>-7.3896296644837545E-5</v>
      </c>
      <c r="O54" s="46">
        <v>9.8897995851101622E-2</v>
      </c>
      <c r="P54" s="46">
        <v>0.11547637372752365</v>
      </c>
      <c r="Q54" s="56">
        <v>1.6578377876422024E-2</v>
      </c>
    </row>
    <row r="55" spans="2:17" x14ac:dyDescent="0.3">
      <c r="B55" s="28" t="s">
        <v>72</v>
      </c>
      <c r="C55" s="46">
        <v>0.1100783719171668</v>
      </c>
      <c r="D55" s="46">
        <v>0.21009340484769462</v>
      </c>
      <c r="E55" s="56">
        <v>0.10001503293052783</v>
      </c>
      <c r="F55" s="46">
        <v>0.11016232598479229</v>
      </c>
      <c r="G55" s="46">
        <v>0.2464714482968853</v>
      </c>
      <c r="H55" s="56">
        <v>0.13630912231209302</v>
      </c>
      <c r="I55" s="57">
        <v>6.108152182442942E-2</v>
      </c>
      <c r="J55" s="57">
        <v>-3.4193851597118977E-2</v>
      </c>
      <c r="K55" s="58">
        <v>-9.5275373421548404E-2</v>
      </c>
      <c r="L55" s="53">
        <v>0.10193287978040831</v>
      </c>
      <c r="M55" s="53">
        <v>0.10184315805947132</v>
      </c>
      <c r="N55" s="56">
        <v>-8.97217209369916E-5</v>
      </c>
      <c r="O55" s="46">
        <v>0.1097522759862375</v>
      </c>
      <c r="P55" s="46">
        <v>0.13055205118054281</v>
      </c>
      <c r="Q55" s="56">
        <v>2.0799775194305301E-2</v>
      </c>
    </row>
    <row r="56" spans="2:17" x14ac:dyDescent="0.3">
      <c r="B56" s="28" t="s">
        <v>73</v>
      </c>
      <c r="C56" s="41"/>
      <c r="D56" s="41">
        <v>0</v>
      </c>
      <c r="E56" s="55"/>
      <c r="F56" s="41"/>
      <c r="G56" s="41">
        <v>0</v>
      </c>
      <c r="H56" s="55"/>
      <c r="I56" s="41"/>
      <c r="J56" s="41">
        <v>0</v>
      </c>
      <c r="K56" s="55"/>
      <c r="L56" s="41"/>
      <c r="M56" s="41">
        <v>0</v>
      </c>
      <c r="N56" s="55"/>
      <c r="O56" s="41"/>
      <c r="P56" s="41">
        <v>0</v>
      </c>
      <c r="Q56" s="55"/>
    </row>
    <row r="57" spans="2:17" x14ac:dyDescent="0.3">
      <c r="B57" s="59" t="s">
        <v>74</v>
      </c>
      <c r="C57" s="41"/>
      <c r="D57" s="41">
        <v>14505379.9</v>
      </c>
      <c r="E57" s="55"/>
      <c r="F57" s="41"/>
      <c r="G57" s="41">
        <v>13453998.779999999</v>
      </c>
      <c r="H57" s="55"/>
      <c r="I57" s="41"/>
      <c r="J57" s="41">
        <v>-3647983.64</v>
      </c>
      <c r="K57" s="55"/>
      <c r="L57" s="41"/>
      <c r="M57" s="41">
        <v>11364966.07</v>
      </c>
      <c r="N57" s="55"/>
      <c r="O57" s="41"/>
      <c r="P57" s="41">
        <v>2339207.37</v>
      </c>
      <c r="Q57" s="55"/>
    </row>
    <row r="58" spans="2:17" x14ac:dyDescent="0.3">
      <c r="B58" s="60" t="s">
        <v>75</v>
      </c>
      <c r="C58" s="41"/>
      <c r="D58" s="46">
        <v>0.99375785009519535</v>
      </c>
      <c r="E58" s="55"/>
      <c r="F58" s="41"/>
      <c r="G58" s="46">
        <v>0.94213807113150305</v>
      </c>
      <c r="H58" s="55"/>
      <c r="I58" s="41"/>
      <c r="J58" s="46">
        <v>0.93232592130885594</v>
      </c>
      <c r="K58" s="55"/>
      <c r="L58" s="41"/>
      <c r="M58" s="46">
        <v>0.99842102724741488</v>
      </c>
      <c r="N58" s="55"/>
      <c r="O58" s="41"/>
      <c r="P58" s="46">
        <v>0.93086369736167029</v>
      </c>
      <c r="Q58" s="55"/>
    </row>
    <row r="59" spans="2:17" x14ac:dyDescent="0.3">
      <c r="B59" s="61" t="s">
        <v>76</v>
      </c>
      <c r="C59" s="41"/>
      <c r="D59" s="41">
        <v>13800294.288094128</v>
      </c>
      <c r="E59" s="55"/>
      <c r="F59" s="41"/>
      <c r="G59" s="41">
        <v>15432637.730079845</v>
      </c>
      <c r="H59" s="55"/>
      <c r="I59" s="41"/>
      <c r="J59" s="41">
        <v>-2791338.761987552</v>
      </c>
      <c r="K59" s="55"/>
      <c r="L59" s="41"/>
      <c r="M59" s="41">
        <v>11837223.641447075</v>
      </c>
      <c r="N59" s="55"/>
      <c r="O59" s="41"/>
      <c r="P59" s="41">
        <v>3841978.2295478261</v>
      </c>
      <c r="Q59" s="55"/>
    </row>
    <row r="60" spans="2:17" x14ac:dyDescent="0.3">
      <c r="B60" s="61" t="s">
        <v>77</v>
      </c>
      <c r="C60" s="41"/>
      <c r="D60" s="41">
        <v>86684.603969117627</v>
      </c>
      <c r="E60" s="55"/>
      <c r="F60" s="41"/>
      <c r="G60" s="41">
        <v>947803.95140886307</v>
      </c>
      <c r="H60" s="55"/>
      <c r="I60" s="41"/>
      <c r="J60" s="41">
        <v>0</v>
      </c>
      <c r="K60" s="55"/>
      <c r="L60" s="41"/>
      <c r="M60" s="41">
        <v>18720.212301246822</v>
      </c>
      <c r="N60" s="55"/>
      <c r="O60" s="41"/>
      <c r="P60" s="41">
        <v>285348.08088524127</v>
      </c>
      <c r="Q60" s="55"/>
    </row>
    <row r="61" spans="2:17" x14ac:dyDescent="0.3">
      <c r="B61" s="61" t="s">
        <v>78</v>
      </c>
      <c r="C61" s="41"/>
      <c r="D61" s="41">
        <v>79486765.018094108</v>
      </c>
      <c r="E61" s="55"/>
      <c r="F61" s="41"/>
      <c r="G61" s="41">
        <v>78046939.860079825</v>
      </c>
      <c r="H61" s="55"/>
      <c r="I61" s="41"/>
      <c r="J61" s="41">
        <v>73505908.357044801</v>
      </c>
      <c r="K61" s="55"/>
      <c r="L61" s="41"/>
      <c r="M61" s="41">
        <v>128067158.64144704</v>
      </c>
      <c r="N61" s="55"/>
      <c r="O61" s="41"/>
      <c r="P61" s="41">
        <v>33270686.509547841</v>
      </c>
      <c r="Q61" s="55"/>
    </row>
    <row r="62" spans="2:17" x14ac:dyDescent="0.3">
      <c r="B62" s="61" t="s">
        <v>79</v>
      </c>
      <c r="C62" s="41"/>
      <c r="D62" s="41">
        <v>86945.109999999404</v>
      </c>
      <c r="E62" s="55"/>
      <c r="F62" s="41"/>
      <c r="G62" s="41">
        <v>254408.24000001699</v>
      </c>
      <c r="H62" s="55"/>
      <c r="I62" s="41"/>
      <c r="J62" s="41">
        <v>556964.03000001609</v>
      </c>
      <c r="K62" s="55"/>
      <c r="L62" s="41"/>
      <c r="M62" s="41">
        <v>8318.1700000017881</v>
      </c>
      <c r="N62" s="55"/>
      <c r="O62" s="41"/>
      <c r="P62" s="41">
        <v>0</v>
      </c>
      <c r="Q62" s="55"/>
    </row>
    <row r="63" spans="2:17" x14ac:dyDescent="0.3">
      <c r="B63" s="61" t="s">
        <v>80</v>
      </c>
      <c r="C63" s="41"/>
      <c r="D63" s="41">
        <v>0</v>
      </c>
      <c r="E63" s="55"/>
      <c r="F63" s="41"/>
      <c r="G63" s="41">
        <v>258087.841368742</v>
      </c>
      <c r="H63" s="55"/>
      <c r="I63" s="41"/>
      <c r="J63" s="41">
        <v>6.7899999999790452</v>
      </c>
      <c r="K63" s="55"/>
      <c r="L63" s="41"/>
      <c r="M63" s="41">
        <v>0</v>
      </c>
      <c r="N63" s="55"/>
      <c r="O63" s="41"/>
      <c r="P63" s="41">
        <v>0</v>
      </c>
      <c r="Q63" s="55"/>
    </row>
    <row r="64" spans="2:17" x14ac:dyDescent="0.3">
      <c r="B64" s="61" t="s">
        <v>81</v>
      </c>
      <c r="C64" s="41"/>
      <c r="D64" s="41">
        <v>18266.594194756821</v>
      </c>
      <c r="E64" s="55"/>
      <c r="F64" s="41"/>
      <c r="G64" s="41">
        <v>-99741.394674601033</v>
      </c>
      <c r="H64" s="55"/>
      <c r="I64" s="41"/>
      <c r="J64" s="41">
        <v>0</v>
      </c>
      <c r="K64" s="55"/>
      <c r="L64" s="41"/>
      <c r="M64" s="41">
        <v>847.14870207570493</v>
      </c>
      <c r="N64" s="55"/>
      <c r="O64" s="41"/>
      <c r="P64" s="41">
        <v>0</v>
      </c>
      <c r="Q64" s="55"/>
    </row>
    <row r="65" spans="2:17" x14ac:dyDescent="0.3">
      <c r="B65" s="60" t="s">
        <v>82</v>
      </c>
      <c r="C65" s="41"/>
      <c r="D65" s="46">
        <v>0.17361751085167987</v>
      </c>
      <c r="E65" s="55"/>
      <c r="F65" s="41"/>
      <c r="G65" s="46">
        <v>-0.6448789620344757</v>
      </c>
      <c r="H65" s="55"/>
      <c r="I65" s="41"/>
      <c r="J65" s="46">
        <v>0</v>
      </c>
      <c r="K65" s="55"/>
      <c r="L65" s="41"/>
      <c r="M65" s="46">
        <v>9.2429813911837314E-2</v>
      </c>
      <c r="N65" s="55"/>
      <c r="O65" s="41"/>
      <c r="P65" s="46">
        <v>0</v>
      </c>
      <c r="Q65" s="55"/>
    </row>
    <row r="66" spans="2:17" x14ac:dyDescent="0.3">
      <c r="B66" s="61" t="s">
        <v>83</v>
      </c>
      <c r="C66" s="41"/>
      <c r="D66" s="41">
        <v>105211.70419475436</v>
      </c>
      <c r="E66" s="55"/>
      <c r="F66" s="41"/>
      <c r="G66" s="41">
        <v>154666.84532541037</v>
      </c>
      <c r="H66" s="55"/>
      <c r="I66" s="41"/>
      <c r="J66" s="41">
        <v>545123.87260264158</v>
      </c>
      <c r="K66" s="55"/>
      <c r="L66" s="41"/>
      <c r="M66" s="41">
        <v>9165.3187020719051</v>
      </c>
      <c r="N66" s="55"/>
      <c r="O66" s="41"/>
      <c r="P66" s="41">
        <v>0</v>
      </c>
      <c r="Q66" s="55"/>
    </row>
    <row r="67" spans="2:17" x14ac:dyDescent="0.3">
      <c r="B67" s="23" t="s">
        <v>84</v>
      </c>
      <c r="C67" s="24"/>
      <c r="D67" s="25"/>
      <c r="E67" s="26"/>
      <c r="F67" s="27"/>
      <c r="G67" s="25"/>
      <c r="H67" s="26"/>
      <c r="I67" s="27"/>
      <c r="J67" s="25"/>
      <c r="K67" s="26"/>
      <c r="L67" s="27"/>
      <c r="M67" s="25"/>
      <c r="N67" s="26"/>
      <c r="O67" s="27"/>
      <c r="P67" s="25"/>
      <c r="Q67" s="26"/>
    </row>
    <row r="68" spans="2:17" x14ac:dyDescent="0.3">
      <c r="B68" s="62" t="s">
        <v>85</v>
      </c>
      <c r="C68" s="63">
        <v>0</v>
      </c>
      <c r="D68" s="64">
        <v>157.18769497497104</v>
      </c>
      <c r="E68" s="65">
        <v>-157.18769497497104</v>
      </c>
      <c r="F68" s="66">
        <v>0</v>
      </c>
      <c r="G68" s="64">
        <v>136.30252307801837</v>
      </c>
      <c r="H68" s="65">
        <v>-136.30252307801837</v>
      </c>
      <c r="I68" s="66">
        <v>0</v>
      </c>
      <c r="J68" s="64">
        <v>161.06377952755903</v>
      </c>
      <c r="K68" s="65">
        <v>-161.06377952755903</v>
      </c>
      <c r="L68" s="66">
        <v>0</v>
      </c>
      <c r="M68" s="64">
        <v>0</v>
      </c>
      <c r="N68" s="65">
        <v>0</v>
      </c>
      <c r="O68" s="66">
        <v>0</v>
      </c>
      <c r="P68" s="64">
        <v>114.35547665440014</v>
      </c>
      <c r="Q68" s="65">
        <v>-114.35547665440014</v>
      </c>
    </row>
    <row r="69" spans="2:17" x14ac:dyDescent="0.3">
      <c r="B69" s="62" t="s">
        <v>86</v>
      </c>
      <c r="C69" s="63">
        <v>0</v>
      </c>
      <c r="D69" s="64">
        <v>76.834097827516047</v>
      </c>
      <c r="E69" s="65">
        <v>-76.834097827516047</v>
      </c>
      <c r="F69" s="66">
        <v>0</v>
      </c>
      <c r="G69" s="64">
        <v>18.10058366161028</v>
      </c>
      <c r="H69" s="65">
        <v>-18.10058366161028</v>
      </c>
      <c r="I69" s="66">
        <v>0</v>
      </c>
      <c r="J69" s="64">
        <v>28.40973591202647</v>
      </c>
      <c r="K69" s="65">
        <v>-28.40973591202647</v>
      </c>
      <c r="L69" s="66">
        <v>0</v>
      </c>
      <c r="M69" s="64">
        <v>0</v>
      </c>
      <c r="N69" s="65">
        <v>0</v>
      </c>
      <c r="O69" s="66">
        <v>0</v>
      </c>
      <c r="P69" s="64">
        <v>52.978057626039877</v>
      </c>
      <c r="Q69" s="65">
        <v>-52.978057626039877</v>
      </c>
    </row>
    <row r="70" spans="2:17" x14ac:dyDescent="0.3">
      <c r="B70" s="62" t="s">
        <v>87</v>
      </c>
      <c r="C70" s="63">
        <v>0</v>
      </c>
      <c r="D70" s="64">
        <v>150.47189124224988</v>
      </c>
      <c r="E70" s="65">
        <v>-150.47189124224988</v>
      </c>
      <c r="F70" s="66">
        <v>0</v>
      </c>
      <c r="G70" s="64">
        <v>166.05641072679612</v>
      </c>
      <c r="H70" s="65">
        <v>-166.05641072679612</v>
      </c>
      <c r="I70" s="66">
        <v>0</v>
      </c>
      <c r="J70" s="64">
        <v>316.89614546207252</v>
      </c>
      <c r="K70" s="65">
        <v>-316.89614546207252</v>
      </c>
      <c r="L70" s="66">
        <v>0</v>
      </c>
      <c r="M70" s="64">
        <v>0</v>
      </c>
      <c r="N70" s="65">
        <v>0</v>
      </c>
      <c r="O70" s="66">
        <v>0</v>
      </c>
      <c r="P70" s="64">
        <v>25.41328200855277</v>
      </c>
      <c r="Q70" s="65">
        <v>-25.41328200855277</v>
      </c>
    </row>
    <row r="71" spans="2:17" x14ac:dyDescent="0.3">
      <c r="B71" s="62" t="s">
        <v>88</v>
      </c>
      <c r="C71" s="63">
        <v>0</v>
      </c>
      <c r="D71" s="64">
        <v>0</v>
      </c>
      <c r="E71" s="65">
        <v>0</v>
      </c>
      <c r="F71" s="66">
        <v>0</v>
      </c>
      <c r="G71" s="64">
        <v>0</v>
      </c>
      <c r="H71" s="65">
        <v>0</v>
      </c>
      <c r="I71" s="66">
        <v>0</v>
      </c>
      <c r="J71" s="64">
        <v>0</v>
      </c>
      <c r="K71" s="65">
        <v>0</v>
      </c>
      <c r="L71" s="66">
        <v>0</v>
      </c>
      <c r="M71" s="64">
        <v>0</v>
      </c>
      <c r="N71" s="65">
        <v>0</v>
      </c>
      <c r="O71" s="66">
        <v>0</v>
      </c>
      <c r="P71" s="64">
        <v>0</v>
      </c>
      <c r="Q71" s="65">
        <v>0</v>
      </c>
    </row>
    <row r="72" spans="2:17" x14ac:dyDescent="0.3">
      <c r="B72" s="62" t="s">
        <v>89</v>
      </c>
      <c r="C72" s="63">
        <v>0</v>
      </c>
      <c r="D72" s="64">
        <v>0</v>
      </c>
      <c r="E72" s="65">
        <v>0</v>
      </c>
      <c r="F72" s="66">
        <v>0</v>
      </c>
      <c r="G72" s="64">
        <v>209.41666666666666</v>
      </c>
      <c r="H72" s="65">
        <v>-209.41666666666666</v>
      </c>
      <c r="I72" s="66">
        <v>0</v>
      </c>
      <c r="J72" s="64">
        <v>80.335482178939415</v>
      </c>
      <c r="K72" s="65">
        <v>-80.335482178939415</v>
      </c>
      <c r="L72" s="66">
        <v>0</v>
      </c>
      <c r="M72" s="64">
        <v>0</v>
      </c>
      <c r="N72" s="65">
        <v>0</v>
      </c>
      <c r="O72" s="66">
        <v>0</v>
      </c>
      <c r="P72" s="64">
        <v>0</v>
      </c>
      <c r="Q72" s="65">
        <v>0</v>
      </c>
    </row>
    <row r="73" spans="2:17" x14ac:dyDescent="0.3">
      <c r="B73" s="62" t="s">
        <v>90</v>
      </c>
      <c r="C73" s="63">
        <v>0</v>
      </c>
      <c r="D73" s="64">
        <v>25.985119047619047</v>
      </c>
      <c r="E73" s="65">
        <v>-25.985119047619047</v>
      </c>
      <c r="F73" s="66">
        <v>0</v>
      </c>
      <c r="G73" s="64">
        <v>53.151785714285715</v>
      </c>
      <c r="H73" s="65">
        <v>-53.151785714285715</v>
      </c>
      <c r="I73" s="66">
        <v>0</v>
      </c>
      <c r="J73" s="64">
        <v>105.64333333333333</v>
      </c>
      <c r="K73" s="65">
        <v>-105.64333333333333</v>
      </c>
      <c r="L73" s="66">
        <v>0</v>
      </c>
      <c r="M73" s="64">
        <v>0</v>
      </c>
      <c r="N73" s="65">
        <v>0</v>
      </c>
      <c r="O73" s="66">
        <v>0</v>
      </c>
      <c r="P73" s="64">
        <v>94.883333333333354</v>
      </c>
      <c r="Q73" s="65">
        <v>-94.883333333333354</v>
      </c>
    </row>
    <row r="74" spans="2:17" x14ac:dyDescent="0.3">
      <c r="B74" s="62" t="s">
        <v>91</v>
      </c>
      <c r="C74" s="63">
        <v>0</v>
      </c>
      <c r="D74" s="64">
        <v>73.333333333333329</v>
      </c>
      <c r="E74" s="65">
        <v>-73.333333333333329</v>
      </c>
      <c r="F74" s="66">
        <v>0</v>
      </c>
      <c r="G74" s="64">
        <v>40.800000000000011</v>
      </c>
      <c r="H74" s="65">
        <v>-40.800000000000011</v>
      </c>
      <c r="I74" s="66">
        <v>0</v>
      </c>
      <c r="J74" s="64">
        <v>126.55</v>
      </c>
      <c r="K74" s="65">
        <v>-126.55</v>
      </c>
      <c r="L74" s="66">
        <v>0</v>
      </c>
      <c r="M74" s="64">
        <v>0</v>
      </c>
      <c r="N74" s="65">
        <v>0</v>
      </c>
      <c r="O74" s="66">
        <v>0</v>
      </c>
      <c r="P74" s="64">
        <v>79.083333333333314</v>
      </c>
      <c r="Q74" s="65">
        <v>-79.083333333333314</v>
      </c>
    </row>
    <row r="75" spans="2:17" x14ac:dyDescent="0.3">
      <c r="B75" s="62" t="s">
        <v>92</v>
      </c>
      <c r="C75" s="63">
        <v>0</v>
      </c>
      <c r="D75" s="64">
        <v>180.97500000000002</v>
      </c>
      <c r="E75" s="65">
        <v>-180.97500000000002</v>
      </c>
      <c r="F75" s="66">
        <v>0</v>
      </c>
      <c r="G75" s="64">
        <v>57.826086956521742</v>
      </c>
      <c r="H75" s="65">
        <v>-57.826086956521742</v>
      </c>
      <c r="I75" s="66">
        <v>0</v>
      </c>
      <c r="J75" s="64">
        <v>125.69565217391305</v>
      </c>
      <c r="K75" s="65">
        <v>-125.69565217391305</v>
      </c>
      <c r="L75" s="66">
        <v>0</v>
      </c>
      <c r="M75" s="64">
        <v>0</v>
      </c>
      <c r="N75" s="65">
        <v>0</v>
      </c>
      <c r="O75" s="66">
        <v>0</v>
      </c>
      <c r="P75" s="64">
        <v>75.470588235294102</v>
      </c>
      <c r="Q75" s="65">
        <v>-75.470588235294102</v>
      </c>
    </row>
    <row r="76" spans="2:17" x14ac:dyDescent="0.3">
      <c r="B76" s="62" t="s">
        <v>93</v>
      </c>
      <c r="C76" s="63">
        <v>0</v>
      </c>
      <c r="D76" s="64">
        <v>0</v>
      </c>
      <c r="E76" s="65">
        <v>0</v>
      </c>
      <c r="F76" s="66">
        <v>0</v>
      </c>
      <c r="G76" s="64">
        <v>5.248206599713056E-2</v>
      </c>
      <c r="H76" s="65">
        <v>-5.248206599713056E-2</v>
      </c>
      <c r="I76" s="66">
        <v>0</v>
      </c>
      <c r="J76" s="64">
        <v>8.5195701288392253E-2</v>
      </c>
      <c r="K76" s="65">
        <v>-8.5195701288392253E-2</v>
      </c>
      <c r="L76" s="66">
        <v>0</v>
      </c>
      <c r="M76" s="64">
        <v>0</v>
      </c>
      <c r="N76" s="65">
        <v>0</v>
      </c>
      <c r="O76" s="66">
        <v>0</v>
      </c>
      <c r="P76" s="64">
        <v>8.6710294487792605E-2</v>
      </c>
      <c r="Q76" s="65">
        <v>-8.6710294487792605E-2</v>
      </c>
    </row>
    <row r="77" spans="2:17" x14ac:dyDescent="0.3">
      <c r="B77" s="62" t="s">
        <v>94</v>
      </c>
      <c r="C77" s="63">
        <v>0</v>
      </c>
      <c r="D77" s="64">
        <v>0</v>
      </c>
      <c r="E77" s="65">
        <v>0</v>
      </c>
      <c r="F77" s="66">
        <v>0</v>
      </c>
      <c r="G77" s="64">
        <v>0.18466284074605452</v>
      </c>
      <c r="H77" s="65">
        <v>-0.18466284074605452</v>
      </c>
      <c r="I77" s="66">
        <v>0</v>
      </c>
      <c r="J77" s="64">
        <v>0.215</v>
      </c>
      <c r="K77" s="65">
        <v>-0.215</v>
      </c>
      <c r="L77" s="66">
        <v>0</v>
      </c>
      <c r="M77" s="64">
        <v>0</v>
      </c>
      <c r="N77" s="65">
        <v>0</v>
      </c>
      <c r="O77" s="66">
        <v>0</v>
      </c>
      <c r="P77" s="64">
        <v>0.39063679838912663</v>
      </c>
      <c r="Q77" s="65">
        <v>-0.39063679838912663</v>
      </c>
    </row>
    <row r="78" spans="2:17" x14ac:dyDescent="0.3">
      <c r="B78" s="62" t="s">
        <v>95</v>
      </c>
      <c r="C78" s="63">
        <v>0</v>
      </c>
      <c r="D78" s="64">
        <v>5.1929563952588742E-2</v>
      </c>
      <c r="E78" s="65">
        <v>-5.1929563952588742E-2</v>
      </c>
      <c r="F78" s="66">
        <v>0</v>
      </c>
      <c r="G78" s="64">
        <v>7.9928263988522236E-2</v>
      </c>
      <c r="H78" s="65">
        <v>-7.9928263988522236E-2</v>
      </c>
      <c r="I78" s="66">
        <v>0</v>
      </c>
      <c r="J78" s="64">
        <v>7.1624839714233376E-2</v>
      </c>
      <c r="K78" s="65">
        <v>-7.1624839714233376E-2</v>
      </c>
      <c r="L78" s="66">
        <v>0</v>
      </c>
      <c r="M78" s="64">
        <v>0</v>
      </c>
      <c r="N78" s="65">
        <v>0</v>
      </c>
      <c r="O78" s="66">
        <v>0</v>
      </c>
      <c r="P78" s="64">
        <v>7.3747797634029694E-2</v>
      </c>
      <c r="Q78" s="65">
        <v>-7.3747797634029694E-2</v>
      </c>
    </row>
    <row r="79" spans="2:17" x14ac:dyDescent="0.3">
      <c r="B79" s="62" t="s">
        <v>96</v>
      </c>
      <c r="C79" s="63">
        <v>0</v>
      </c>
      <c r="D79" s="64">
        <v>2.8808153477218226</v>
      </c>
      <c r="E79" s="65">
        <v>-2.8808153477218226</v>
      </c>
      <c r="F79" s="66">
        <v>0</v>
      </c>
      <c r="G79" s="64">
        <v>1.9547764227642277</v>
      </c>
      <c r="H79" s="65">
        <v>-1.9547764227642277</v>
      </c>
      <c r="I79" s="66">
        <v>0</v>
      </c>
      <c r="J79" s="64">
        <v>2.2953175707000462</v>
      </c>
      <c r="K79" s="65">
        <v>-2.2953175707000462</v>
      </c>
      <c r="L79" s="66">
        <v>0</v>
      </c>
      <c r="M79" s="64">
        <v>0</v>
      </c>
      <c r="N79" s="65">
        <v>0</v>
      </c>
      <c r="O79" s="66">
        <v>0</v>
      </c>
      <c r="P79" s="64">
        <v>2.6436363636363636</v>
      </c>
      <c r="Q79" s="65">
        <v>-2.6436363636363636</v>
      </c>
    </row>
    <row r="80" spans="2:17" x14ac:dyDescent="0.3">
      <c r="B80" s="62" t="s">
        <v>97</v>
      </c>
      <c r="C80" s="63">
        <v>0</v>
      </c>
      <c r="D80" s="64">
        <v>18.636930455635497</v>
      </c>
      <c r="E80" s="65">
        <v>-18.636930455635497</v>
      </c>
      <c r="F80" s="66">
        <v>0</v>
      </c>
      <c r="G80" s="64">
        <v>12.887703252032521</v>
      </c>
      <c r="H80" s="65">
        <v>-12.887703252032521</v>
      </c>
      <c r="I80" s="66">
        <v>0</v>
      </c>
      <c r="J80" s="64">
        <v>16.874942049142302</v>
      </c>
      <c r="K80" s="65">
        <v>-16.874942049142302</v>
      </c>
      <c r="L80" s="66">
        <v>0</v>
      </c>
      <c r="M80" s="64">
        <v>0</v>
      </c>
      <c r="N80" s="65">
        <v>0</v>
      </c>
      <c r="O80" s="66">
        <v>0</v>
      </c>
      <c r="P80" s="64">
        <v>16.743030303030302</v>
      </c>
      <c r="Q80" s="65">
        <v>-16.743030303030302</v>
      </c>
    </row>
    <row r="81" spans="2:17" x14ac:dyDescent="0.3">
      <c r="B81" s="62" t="s">
        <v>98</v>
      </c>
      <c r="C81" s="63">
        <v>0</v>
      </c>
      <c r="D81" s="64">
        <v>1.3026378896882493</v>
      </c>
      <c r="E81" s="65">
        <v>-1.3026378896882493</v>
      </c>
      <c r="F81" s="66">
        <v>0</v>
      </c>
      <c r="G81" s="64">
        <v>1.0066056910569106</v>
      </c>
      <c r="H81" s="65">
        <v>-1.0066056910569106</v>
      </c>
      <c r="I81" s="66">
        <v>0</v>
      </c>
      <c r="J81" s="64">
        <v>1.9749652294853963</v>
      </c>
      <c r="K81" s="65">
        <v>-1.9749652294853963</v>
      </c>
      <c r="L81" s="66">
        <v>0</v>
      </c>
      <c r="M81" s="64">
        <v>0</v>
      </c>
      <c r="N81" s="65">
        <v>0</v>
      </c>
      <c r="O81" s="66">
        <v>0</v>
      </c>
      <c r="P81" s="64">
        <v>1.250909090909091</v>
      </c>
      <c r="Q81" s="65">
        <v>-1.250909090909091</v>
      </c>
    </row>
    <row r="82" spans="2:17" x14ac:dyDescent="0.3">
      <c r="B82" s="62" t="s">
        <v>99</v>
      </c>
      <c r="C82" s="63">
        <v>0</v>
      </c>
      <c r="D82" s="64">
        <v>6.2674376288868218E-3</v>
      </c>
      <c r="E82" s="65">
        <v>-6.2674376288868218E-3</v>
      </c>
      <c r="F82" s="66">
        <v>0</v>
      </c>
      <c r="G82" s="64">
        <v>1.8858559433118888E-2</v>
      </c>
      <c r="H82" s="65">
        <v>-1.8858559433118888E-2</v>
      </c>
      <c r="I82" s="66">
        <v>0</v>
      </c>
      <c r="J82" s="64">
        <v>1.9003417382469752E-2</v>
      </c>
      <c r="K82" s="65">
        <v>-1.9003417382469752E-2</v>
      </c>
      <c r="L82" s="66">
        <v>0</v>
      </c>
      <c r="M82" s="64">
        <v>0</v>
      </c>
      <c r="N82" s="65">
        <v>0</v>
      </c>
      <c r="O82" s="66">
        <v>0</v>
      </c>
      <c r="P82" s="64">
        <v>2.8461780434098773E-2</v>
      </c>
      <c r="Q82" s="65">
        <v>-2.8461780434098773E-2</v>
      </c>
    </row>
    <row r="83" spans="2:17" x14ac:dyDescent="0.3">
      <c r="B83" s="62" t="s">
        <v>100</v>
      </c>
      <c r="C83" s="63">
        <v>0</v>
      </c>
      <c r="D83" s="64">
        <v>0.10007429946221341</v>
      </c>
      <c r="E83" s="65">
        <v>-0.10007429946221341</v>
      </c>
      <c r="F83" s="66">
        <v>0</v>
      </c>
      <c r="G83" s="64">
        <v>9.411043651381279E-2</v>
      </c>
      <c r="H83" s="65">
        <v>-9.411043651381279E-2</v>
      </c>
      <c r="I83" s="66">
        <v>0</v>
      </c>
      <c r="J83" s="64">
        <v>9.063093295567666E-2</v>
      </c>
      <c r="K83" s="65">
        <v>-9.063093295567666E-2</v>
      </c>
      <c r="L83" s="66">
        <v>0</v>
      </c>
      <c r="M83" s="64">
        <v>0</v>
      </c>
      <c r="N83" s="65">
        <v>0</v>
      </c>
      <c r="O83" s="66">
        <v>0</v>
      </c>
      <c r="P83" s="64">
        <v>0.10600817867253853</v>
      </c>
      <c r="Q83" s="65">
        <v>-0.10600817867253853</v>
      </c>
    </row>
    <row r="84" spans="2:17" x14ac:dyDescent="0.3">
      <c r="B84" s="62" t="s">
        <v>101</v>
      </c>
      <c r="C84" s="63">
        <v>0</v>
      </c>
      <c r="D84" s="64">
        <v>9.6311309692289036E-3</v>
      </c>
      <c r="E84" s="65">
        <v>-9.6311309692289036E-3</v>
      </c>
      <c r="F84" s="66">
        <v>0</v>
      </c>
      <c r="G84" s="64">
        <v>1.1199412058289594E-2</v>
      </c>
      <c r="H84" s="65">
        <v>-1.1199412058289594E-2</v>
      </c>
      <c r="I84" s="66">
        <v>0</v>
      </c>
      <c r="J84" s="64">
        <v>8.8538940714058476E-3</v>
      </c>
      <c r="K84" s="65">
        <v>-8.8538940714058476E-3</v>
      </c>
      <c r="L84" s="66">
        <v>0</v>
      </c>
      <c r="M84" s="64">
        <v>0</v>
      </c>
      <c r="N84" s="65">
        <v>0</v>
      </c>
      <c r="O84" s="66">
        <v>0</v>
      </c>
      <c r="P84" s="64">
        <v>9.4117647058823521E-3</v>
      </c>
      <c r="Q84" s="65">
        <v>-9.4117647058823521E-3</v>
      </c>
    </row>
    <row r="85" spans="2:17" x14ac:dyDescent="0.3">
      <c r="B85" s="62" t="s">
        <v>102</v>
      </c>
      <c r="C85" s="63">
        <v>0</v>
      </c>
      <c r="D85" s="64">
        <v>4.1294420267250324E-3</v>
      </c>
      <c r="E85" s="65">
        <v>-4.1294420267250324E-3</v>
      </c>
      <c r="F85" s="66">
        <v>0</v>
      </c>
      <c r="G85" s="64">
        <v>3.4442853930489055E-3</v>
      </c>
      <c r="H85" s="65">
        <v>-3.4442853930489055E-3</v>
      </c>
      <c r="I85" s="66">
        <v>0</v>
      </c>
      <c r="J85" s="64">
        <v>6.494418128214061E-3</v>
      </c>
      <c r="K85" s="65">
        <v>-6.494418128214061E-3</v>
      </c>
      <c r="L85" s="66">
        <v>0</v>
      </c>
      <c r="M85" s="64">
        <v>0</v>
      </c>
      <c r="N85" s="65">
        <v>0</v>
      </c>
      <c r="O85" s="66">
        <v>0</v>
      </c>
      <c r="P85" s="64">
        <v>0</v>
      </c>
      <c r="Q85" s="65">
        <v>0</v>
      </c>
    </row>
    <row r="86" spans="2:17" x14ac:dyDescent="0.3">
      <c r="B86" s="62" t="s">
        <v>103</v>
      </c>
      <c r="C86" s="63">
        <v>0</v>
      </c>
      <c r="D86" s="64">
        <v>1.6407673860911272</v>
      </c>
      <c r="E86" s="65">
        <v>-1.6407673860911272</v>
      </c>
      <c r="F86" s="66">
        <v>0</v>
      </c>
      <c r="G86" s="64">
        <v>0.61991869918699183</v>
      </c>
      <c r="H86" s="65">
        <v>-0.61991869918699183</v>
      </c>
      <c r="I86" s="66">
        <v>0</v>
      </c>
      <c r="J86" s="64">
        <v>1.3825708061002178</v>
      </c>
      <c r="K86" s="65">
        <v>-1.3825708061002178</v>
      </c>
      <c r="L86" s="66">
        <v>0</v>
      </c>
      <c r="M86" s="64">
        <v>0</v>
      </c>
      <c r="N86" s="65">
        <v>0</v>
      </c>
      <c r="O86" s="66">
        <v>0</v>
      </c>
      <c r="P86" s="64">
        <v>0.47636363636363638</v>
      </c>
      <c r="Q86" s="65">
        <v>-0.47636363636363638</v>
      </c>
    </row>
    <row r="87" spans="2:17" x14ac:dyDescent="0.3">
      <c r="B87" s="62" t="s">
        <v>104</v>
      </c>
      <c r="C87" s="63">
        <v>0</v>
      </c>
      <c r="D87" s="64">
        <v>0.28847969782813976</v>
      </c>
      <c r="E87" s="65">
        <v>-0.28847969782813976</v>
      </c>
      <c r="F87" s="66">
        <v>0</v>
      </c>
      <c r="G87" s="64">
        <v>0.33047232097511425</v>
      </c>
      <c r="H87" s="65">
        <v>-0.33047232097511425</v>
      </c>
      <c r="I87" s="66">
        <v>0</v>
      </c>
      <c r="J87" s="64">
        <v>0.21766182160409914</v>
      </c>
      <c r="K87" s="65">
        <v>-0.21766182160409914</v>
      </c>
      <c r="L87" s="66">
        <v>0</v>
      </c>
      <c r="M87" s="64">
        <v>0</v>
      </c>
      <c r="N87" s="65">
        <v>0</v>
      </c>
      <c r="O87" s="66">
        <v>0</v>
      </c>
      <c r="P87" s="64">
        <v>2.4769061260467171</v>
      </c>
      <c r="Q87" s="65">
        <v>-2.4769061260467171</v>
      </c>
    </row>
    <row r="88" spans="2:17" x14ac:dyDescent="0.3">
      <c r="B88" s="62" t="s">
        <v>105</v>
      </c>
      <c r="C88" s="63">
        <v>0</v>
      </c>
      <c r="D88" s="64">
        <v>0.49651324965132498</v>
      </c>
      <c r="E88" s="65">
        <v>-0.49651324965132498</v>
      </c>
      <c r="F88" s="66">
        <v>0</v>
      </c>
      <c r="G88" s="64">
        <v>0.87154150197628455</v>
      </c>
      <c r="H88" s="65">
        <v>-0.87154150197628455</v>
      </c>
      <c r="I88" s="66">
        <v>0</v>
      </c>
      <c r="J88" s="64">
        <v>1.1354447439353099</v>
      </c>
      <c r="K88" s="65">
        <v>-1.1354447439353099</v>
      </c>
      <c r="L88" s="66">
        <v>0</v>
      </c>
      <c r="M88" s="64">
        <v>0</v>
      </c>
      <c r="N88" s="65">
        <v>0</v>
      </c>
      <c r="O88" s="66">
        <v>0</v>
      </c>
      <c r="P88" s="64">
        <v>0.41176470588235292</v>
      </c>
      <c r="Q88" s="65">
        <v>-0.41176470588235292</v>
      </c>
    </row>
    <row r="89" spans="2:17" x14ac:dyDescent="0.3">
      <c r="B89" s="62" t="s">
        <v>106</v>
      </c>
      <c r="C89" s="63">
        <v>0</v>
      </c>
      <c r="D89" s="64">
        <v>1.0685920577617329</v>
      </c>
      <c r="E89" s="65">
        <v>-1.0685920577617329</v>
      </c>
      <c r="F89" s="66">
        <v>0</v>
      </c>
      <c r="G89" s="64">
        <v>2.6623505976095618</v>
      </c>
      <c r="H89" s="65">
        <v>-2.6623505976095618</v>
      </c>
      <c r="I89" s="66">
        <v>0</v>
      </c>
      <c r="J89" s="64">
        <v>3.9718004338394794</v>
      </c>
      <c r="K89" s="65">
        <v>-3.9718004338394794</v>
      </c>
      <c r="L89" s="66">
        <v>0</v>
      </c>
      <c r="M89" s="64">
        <v>0</v>
      </c>
      <c r="N89" s="65">
        <v>0</v>
      </c>
      <c r="O89" s="66">
        <v>0</v>
      </c>
      <c r="P89" s="64">
        <v>68.647058823529406</v>
      </c>
      <c r="Q89" s="65">
        <v>-68.647058823529406</v>
      </c>
    </row>
    <row r="90" spans="2:17" x14ac:dyDescent="0.3">
      <c r="B90" s="62" t="s">
        <v>107</v>
      </c>
      <c r="C90" s="63">
        <v>0</v>
      </c>
      <c r="D90" s="64">
        <v>1.8604493270440049E-2</v>
      </c>
      <c r="E90" s="65">
        <v>-1.8604493270440049E-2</v>
      </c>
      <c r="F90" s="66">
        <v>0</v>
      </c>
      <c r="G90" s="64">
        <v>3.7317429566988226E-2</v>
      </c>
      <c r="H90" s="65">
        <v>-3.7317429566988226E-2</v>
      </c>
      <c r="I90" s="66">
        <v>0</v>
      </c>
      <c r="J90" s="64">
        <v>4.7248946642736649E-2</v>
      </c>
      <c r="K90" s="65">
        <v>-4.7248946642736649E-2</v>
      </c>
      <c r="L90" s="66">
        <v>0</v>
      </c>
      <c r="M90" s="64">
        <v>0</v>
      </c>
      <c r="N90" s="65">
        <v>0</v>
      </c>
      <c r="O90" s="66">
        <v>0</v>
      </c>
      <c r="P90" s="64">
        <v>7.4677889523844729E-3</v>
      </c>
      <c r="Q90" s="65">
        <v>-7.4677889523844729E-3</v>
      </c>
    </row>
    <row r="91" spans="2:17" x14ac:dyDescent="0.3">
      <c r="B91" s="62" t="s">
        <v>108</v>
      </c>
      <c r="C91" s="63">
        <v>0</v>
      </c>
      <c r="D91" s="64">
        <v>45.804347826086953</v>
      </c>
      <c r="E91" s="65">
        <v>-45.804347826086953</v>
      </c>
      <c r="F91" s="66">
        <v>0</v>
      </c>
      <c r="G91" s="64">
        <v>50.15625</v>
      </c>
      <c r="H91" s="65">
        <v>-50.15625</v>
      </c>
      <c r="I91" s="66">
        <v>0</v>
      </c>
      <c r="J91" s="64">
        <v>0</v>
      </c>
      <c r="K91" s="65">
        <v>0</v>
      </c>
      <c r="L91" s="66">
        <v>0</v>
      </c>
      <c r="M91" s="64">
        <v>0</v>
      </c>
      <c r="N91" s="65">
        <v>0</v>
      </c>
      <c r="O91" s="66">
        <v>0</v>
      </c>
      <c r="P91" s="64">
        <v>0</v>
      </c>
      <c r="Q91" s="65">
        <v>0</v>
      </c>
    </row>
    <row r="92" spans="2:17" x14ac:dyDescent="0.3">
      <c r="B92" s="62" t="s">
        <v>109</v>
      </c>
      <c r="C92" s="63">
        <v>0</v>
      </c>
      <c r="D92" s="64">
        <v>1.7584206057175204E-2</v>
      </c>
      <c r="E92" s="65">
        <v>-1.7584206057175204E-2</v>
      </c>
      <c r="F92" s="66">
        <v>0</v>
      </c>
      <c r="G92" s="64">
        <v>1.8478150406504066</v>
      </c>
      <c r="H92" s="65">
        <v>-1.8478150406504066</v>
      </c>
      <c r="I92" s="66">
        <v>0</v>
      </c>
      <c r="J92" s="64">
        <v>2.197951623000113E-2</v>
      </c>
      <c r="K92" s="65">
        <v>-2.197951623000113E-2</v>
      </c>
      <c r="L92" s="66">
        <v>0</v>
      </c>
      <c r="M92" s="64">
        <v>0</v>
      </c>
      <c r="N92" s="65">
        <v>0</v>
      </c>
      <c r="O92" s="66">
        <v>0</v>
      </c>
      <c r="P92" s="64">
        <v>4.0931110412079273E-2</v>
      </c>
      <c r="Q92" s="65">
        <v>-4.0931110412079273E-2</v>
      </c>
    </row>
    <row r="93" spans="2:17" x14ac:dyDescent="0.3">
      <c r="B93" s="62" t="s">
        <v>110</v>
      </c>
      <c r="C93" s="63">
        <v>0</v>
      </c>
      <c r="D93" s="64">
        <v>4.2829373777717372E-3</v>
      </c>
      <c r="E93" s="65">
        <v>-4.2829373777717372E-3</v>
      </c>
      <c r="F93" s="66">
        <v>0</v>
      </c>
      <c r="G93" s="64">
        <v>4.1089939024390247</v>
      </c>
      <c r="H93" s="65">
        <v>-4.1089939024390247</v>
      </c>
      <c r="I93" s="66">
        <v>0</v>
      </c>
      <c r="J93" s="64">
        <v>4.5417140856167382E-3</v>
      </c>
      <c r="K93" s="65">
        <v>-4.5417140856167382E-3</v>
      </c>
      <c r="L93" s="66">
        <v>0</v>
      </c>
      <c r="M93" s="64">
        <v>0</v>
      </c>
      <c r="N93" s="65">
        <v>0</v>
      </c>
      <c r="O93" s="66">
        <v>0</v>
      </c>
      <c r="P93" s="64">
        <v>4.0598591549295777E-3</v>
      </c>
      <c r="Q93" s="65">
        <v>-4.0598591549295777E-3</v>
      </c>
    </row>
    <row r="94" spans="2:17" x14ac:dyDescent="0.3">
      <c r="B94" s="62" t="s">
        <v>111</v>
      </c>
      <c r="C94" s="63">
        <v>0</v>
      </c>
      <c r="D94" s="64">
        <v>0.38187372708757639</v>
      </c>
      <c r="E94" s="65">
        <v>-0.38187372708757639</v>
      </c>
      <c r="F94" s="66">
        <v>0</v>
      </c>
      <c r="G94" s="64">
        <v>0.65620849933598935</v>
      </c>
      <c r="H94" s="65">
        <v>-0.65620849933598935</v>
      </c>
      <c r="I94" s="66">
        <v>0</v>
      </c>
      <c r="J94" s="64">
        <v>1.0528741865509761</v>
      </c>
      <c r="K94" s="65">
        <v>-1.0528741865509761</v>
      </c>
      <c r="L94" s="66">
        <v>0</v>
      </c>
      <c r="M94" s="64">
        <v>0</v>
      </c>
      <c r="N94" s="65">
        <v>0</v>
      </c>
      <c r="O94" s="66">
        <v>0</v>
      </c>
      <c r="P94" s="64">
        <v>0.47379912663755458</v>
      </c>
      <c r="Q94" s="65">
        <v>-0.47379912663755458</v>
      </c>
    </row>
    <row r="95" spans="2:17" x14ac:dyDescent="0.3">
      <c r="B95" s="62" t="s">
        <v>112</v>
      </c>
      <c r="C95" s="63">
        <v>0</v>
      </c>
      <c r="D95" s="64">
        <v>1.2538314176245211</v>
      </c>
      <c r="E95" s="65">
        <v>-1.2538314176245211</v>
      </c>
      <c r="F95" s="66">
        <v>0</v>
      </c>
      <c r="G95" s="64">
        <v>4.0986055776892432</v>
      </c>
      <c r="H95" s="65">
        <v>-4.0986055776892432</v>
      </c>
      <c r="I95" s="66">
        <v>0</v>
      </c>
      <c r="J95" s="64">
        <v>2.7548806941431669</v>
      </c>
      <c r="K95" s="65">
        <v>-2.7548806941431669</v>
      </c>
      <c r="L95" s="66">
        <v>0</v>
      </c>
      <c r="M95" s="64">
        <v>0</v>
      </c>
      <c r="N95" s="65">
        <v>0</v>
      </c>
      <c r="O95" s="66">
        <v>0</v>
      </c>
      <c r="P95" s="64">
        <v>4.5851528384279474</v>
      </c>
      <c r="Q95" s="65">
        <v>-4.5851528384279474</v>
      </c>
    </row>
    <row r="96" spans="2:17" x14ac:dyDescent="0.3">
      <c r="B96" s="62" t="s">
        <v>113</v>
      </c>
      <c r="C96" s="63">
        <v>0</v>
      </c>
      <c r="D96" s="64">
        <v>3.9060480744378394E-2</v>
      </c>
      <c r="E96" s="65">
        <v>-3.9060480744378394E-2</v>
      </c>
      <c r="F96" s="66">
        <v>0</v>
      </c>
      <c r="G96" s="64">
        <v>4.1786926321798971E-2</v>
      </c>
      <c r="H96" s="65">
        <v>-4.1786926321798971E-2</v>
      </c>
      <c r="I96" s="66">
        <v>0</v>
      </c>
      <c r="J96" s="64">
        <v>4.5273112468912163E-2</v>
      </c>
      <c r="K96" s="65">
        <v>-4.5273112468912163E-2</v>
      </c>
      <c r="L96" s="66">
        <v>0</v>
      </c>
      <c r="M96" s="64">
        <v>0</v>
      </c>
      <c r="N96" s="65">
        <v>0</v>
      </c>
      <c r="O96" s="66">
        <v>0</v>
      </c>
      <c r="P96" s="64">
        <v>0.12038730714172101</v>
      </c>
      <c r="Q96" s="65">
        <v>-0.12038730714172101</v>
      </c>
    </row>
    <row r="97" spans="2:17" x14ac:dyDescent="0.3">
      <c r="B97" s="62" t="s">
        <v>114</v>
      </c>
      <c r="C97" s="63">
        <v>0</v>
      </c>
      <c r="D97" s="64">
        <v>0.59472422062350117</v>
      </c>
      <c r="E97" s="65">
        <v>-0.59472422062350117</v>
      </c>
      <c r="F97" s="66">
        <v>0</v>
      </c>
      <c r="G97" s="64">
        <v>56.260869565217398</v>
      </c>
      <c r="H97" s="65">
        <v>-56.260869565217398</v>
      </c>
      <c r="I97" s="66">
        <v>0</v>
      </c>
      <c r="J97" s="64">
        <v>0.68474733426054724</v>
      </c>
      <c r="K97" s="65">
        <v>-0.68474733426054724</v>
      </c>
      <c r="L97" s="66">
        <v>0</v>
      </c>
      <c r="M97" s="64">
        <v>0</v>
      </c>
      <c r="N97" s="65">
        <v>0</v>
      </c>
      <c r="O97" s="66">
        <v>0</v>
      </c>
      <c r="P97" s="64">
        <v>29.264705882352942</v>
      </c>
      <c r="Q97" s="65">
        <v>-29.264705882352942</v>
      </c>
    </row>
    <row r="98" spans="2:17" x14ac:dyDescent="0.3">
      <c r="B98" s="62" t="s">
        <v>115</v>
      </c>
      <c r="C98" s="63">
        <v>0</v>
      </c>
      <c r="D98" s="64">
        <v>9.1730105442337697E-3</v>
      </c>
      <c r="E98" s="65">
        <v>-9.1730105442337697E-3</v>
      </c>
      <c r="F98" s="66">
        <v>0</v>
      </c>
      <c r="G98" s="64">
        <v>9.2031714288853695E-3</v>
      </c>
      <c r="H98" s="65">
        <v>-9.2031714288853695E-3</v>
      </c>
      <c r="I98" s="66">
        <v>0</v>
      </c>
      <c r="J98" s="64">
        <v>7.5961222365285071E-3</v>
      </c>
      <c r="K98" s="65">
        <v>-7.5961222365285071E-3</v>
      </c>
      <c r="L98" s="66">
        <v>0</v>
      </c>
      <c r="M98" s="64">
        <v>0</v>
      </c>
      <c r="N98" s="65">
        <v>0</v>
      </c>
      <c r="O98" s="66">
        <v>0</v>
      </c>
      <c r="P98" s="64">
        <v>9.1995305164319242E-3</v>
      </c>
      <c r="Q98" s="65">
        <v>-9.1995305164319242E-3</v>
      </c>
    </row>
    <row r="99" spans="2:17" x14ac:dyDescent="0.3">
      <c r="B99" s="62" t="s">
        <v>116</v>
      </c>
      <c r="C99" s="63">
        <v>0</v>
      </c>
      <c r="D99" s="64">
        <v>2.3968824940047964</v>
      </c>
      <c r="E99" s="65">
        <v>-2.3968824940047964</v>
      </c>
      <c r="F99" s="66">
        <v>0</v>
      </c>
      <c r="G99" s="64">
        <v>2.6453252032520327</v>
      </c>
      <c r="H99" s="65">
        <v>-2.6453252032520327</v>
      </c>
      <c r="I99" s="66">
        <v>0</v>
      </c>
      <c r="J99" s="64">
        <v>2.7102552619794</v>
      </c>
      <c r="K99" s="65">
        <v>-2.7102552619794</v>
      </c>
      <c r="L99" s="66">
        <v>0</v>
      </c>
      <c r="M99" s="64">
        <v>0</v>
      </c>
      <c r="N99" s="65">
        <v>0</v>
      </c>
      <c r="O99" s="66">
        <v>0</v>
      </c>
      <c r="P99" s="64">
        <v>198.70588235294119</v>
      </c>
      <c r="Q99" s="65">
        <v>-198.70588235294119</v>
      </c>
    </row>
    <row r="100" spans="2:17" x14ac:dyDescent="0.3">
      <c r="B100" s="62" t="s">
        <v>117</v>
      </c>
      <c r="C100" s="63">
        <v>0</v>
      </c>
      <c r="D100" s="64">
        <v>4.736559139784946</v>
      </c>
      <c r="E100" s="65">
        <v>-4.736559139784946</v>
      </c>
      <c r="F100" s="66">
        <v>0</v>
      </c>
      <c r="G100" s="64">
        <v>2.8160919540229883</v>
      </c>
      <c r="H100" s="65">
        <v>-2.8160919540229883</v>
      </c>
      <c r="I100" s="66">
        <v>0</v>
      </c>
      <c r="J100" s="64">
        <v>6.43</v>
      </c>
      <c r="K100" s="65">
        <v>-6.43</v>
      </c>
      <c r="L100" s="66">
        <v>0</v>
      </c>
      <c r="M100" s="64">
        <v>0</v>
      </c>
      <c r="N100" s="65">
        <v>0</v>
      </c>
      <c r="O100" s="66">
        <v>0</v>
      </c>
      <c r="P100" s="64">
        <v>5.2717391304347823</v>
      </c>
      <c r="Q100" s="65">
        <v>-5.2717391304347823</v>
      </c>
    </row>
    <row r="101" spans="2:17" x14ac:dyDescent="0.3">
      <c r="B101" s="62" t="s">
        <v>118</v>
      </c>
      <c r="C101" s="63">
        <v>0</v>
      </c>
      <c r="D101" s="64">
        <v>56.937500000000014</v>
      </c>
      <c r="E101" s="65">
        <v>-56.937500000000014</v>
      </c>
      <c r="F101" s="66">
        <v>0</v>
      </c>
      <c r="G101" s="64">
        <v>162</v>
      </c>
      <c r="H101" s="65">
        <v>-162</v>
      </c>
      <c r="I101" s="66">
        <v>0</v>
      </c>
      <c r="J101" s="64">
        <v>250.75</v>
      </c>
      <c r="K101" s="65">
        <v>-250.75</v>
      </c>
      <c r="L101" s="66">
        <v>0</v>
      </c>
      <c r="M101" s="64">
        <v>0</v>
      </c>
      <c r="N101" s="65">
        <v>0</v>
      </c>
      <c r="O101" s="66">
        <v>0</v>
      </c>
      <c r="P101" s="64">
        <v>0</v>
      </c>
      <c r="Q101" s="65">
        <v>0</v>
      </c>
    </row>
    <row r="102" spans="2:17" x14ac:dyDescent="0.3">
      <c r="B102" s="62" t="s">
        <v>119</v>
      </c>
      <c r="C102" s="63">
        <v>0</v>
      </c>
      <c r="D102" s="64">
        <v>16.695652173913039</v>
      </c>
      <c r="E102" s="65">
        <v>-16.695652173913039</v>
      </c>
      <c r="F102" s="66">
        <v>0</v>
      </c>
      <c r="G102" s="64">
        <v>26.018518518518515</v>
      </c>
      <c r="H102" s="65">
        <v>-26.018518518518515</v>
      </c>
      <c r="I102" s="66">
        <v>0</v>
      </c>
      <c r="J102" s="64">
        <v>42.52</v>
      </c>
      <c r="K102" s="65">
        <v>-42.52</v>
      </c>
      <c r="L102" s="66">
        <v>0</v>
      </c>
      <c r="M102" s="64">
        <v>0</v>
      </c>
      <c r="N102" s="65">
        <v>0</v>
      </c>
      <c r="O102" s="66">
        <v>0</v>
      </c>
      <c r="P102" s="64">
        <v>4.1904761904761907</v>
      </c>
      <c r="Q102" s="65">
        <v>-4.1904761904761907</v>
      </c>
    </row>
    <row r="103" spans="2:17" x14ac:dyDescent="0.3">
      <c r="B103" s="62" t="s">
        <v>120</v>
      </c>
      <c r="C103" s="63">
        <v>0</v>
      </c>
      <c r="D103" s="64">
        <v>1.4709832134292566</v>
      </c>
      <c r="E103" s="65">
        <v>-1.4709832134292566</v>
      </c>
      <c r="F103" s="66">
        <v>0</v>
      </c>
      <c r="G103" s="64">
        <v>81.586956521739125</v>
      </c>
      <c r="H103" s="65">
        <v>-81.586956521739125</v>
      </c>
      <c r="I103" s="66">
        <v>0</v>
      </c>
      <c r="J103" s="64">
        <v>0.55632823365785811</v>
      </c>
      <c r="K103" s="65">
        <v>-0.55632823365785811</v>
      </c>
      <c r="L103" s="66">
        <v>0</v>
      </c>
      <c r="M103" s="64">
        <v>0</v>
      </c>
      <c r="N103" s="65">
        <v>0</v>
      </c>
      <c r="O103" s="66">
        <v>0</v>
      </c>
      <c r="P103" s="64">
        <v>39.205882352941174</v>
      </c>
      <c r="Q103" s="65">
        <v>-39.205882352941174</v>
      </c>
    </row>
    <row r="104" spans="2:17" x14ac:dyDescent="0.3">
      <c r="B104" s="62" t="s">
        <v>121</v>
      </c>
      <c r="C104" s="63">
        <v>0</v>
      </c>
      <c r="D104" s="64">
        <v>23.782608695652176</v>
      </c>
      <c r="E104" s="65">
        <v>-23.782608695652176</v>
      </c>
      <c r="F104" s="66">
        <v>0</v>
      </c>
      <c r="G104" s="64">
        <v>23.739130434782609</v>
      </c>
      <c r="H104" s="65">
        <v>-23.739130434782609</v>
      </c>
      <c r="I104" s="66">
        <v>0</v>
      </c>
      <c r="J104" s="64">
        <v>39</v>
      </c>
      <c r="K104" s="65">
        <v>-39</v>
      </c>
      <c r="L104" s="66">
        <v>0</v>
      </c>
      <c r="M104" s="64">
        <v>0</v>
      </c>
      <c r="N104" s="65">
        <v>0</v>
      </c>
      <c r="O104" s="66">
        <v>0</v>
      </c>
      <c r="P104" s="64">
        <v>20.235294117647058</v>
      </c>
      <c r="Q104" s="65">
        <v>-20.235294117647058</v>
      </c>
    </row>
    <row r="105" spans="2:17" x14ac:dyDescent="0.3">
      <c r="B105" s="62" t="s">
        <v>122</v>
      </c>
      <c r="C105" s="63">
        <v>0</v>
      </c>
      <c r="D105" s="64">
        <v>53.217391304347828</v>
      </c>
      <c r="E105" s="65">
        <v>-53.217391304347828</v>
      </c>
      <c r="F105" s="66">
        <v>0</v>
      </c>
      <c r="G105" s="64">
        <v>48.347826086956523</v>
      </c>
      <c r="H105" s="65">
        <v>-48.347826086956523</v>
      </c>
      <c r="I105" s="66">
        <v>0</v>
      </c>
      <c r="J105" s="64">
        <v>90.782608695652186</v>
      </c>
      <c r="K105" s="65">
        <v>-90.782608695652186</v>
      </c>
      <c r="L105" s="66">
        <v>0</v>
      </c>
      <c r="M105" s="64">
        <v>0</v>
      </c>
      <c r="N105" s="65">
        <v>0</v>
      </c>
      <c r="O105" s="66">
        <v>0</v>
      </c>
      <c r="P105" s="64">
        <v>43.529411764705884</v>
      </c>
      <c r="Q105" s="65">
        <v>-43.529411764705884</v>
      </c>
    </row>
    <row r="106" spans="2:17" x14ac:dyDescent="0.3">
      <c r="B106" s="62" t="s">
        <v>123</v>
      </c>
      <c r="C106" s="63">
        <v>0</v>
      </c>
      <c r="D106" s="64">
        <v>27.652173913043477</v>
      </c>
      <c r="E106" s="65">
        <v>-27.652173913043477</v>
      </c>
      <c r="F106" s="66">
        <v>0</v>
      </c>
      <c r="G106" s="64">
        <v>38.478260869565212</v>
      </c>
      <c r="H106" s="65">
        <v>-38.478260869565212</v>
      </c>
      <c r="I106" s="66">
        <v>0</v>
      </c>
      <c r="J106" s="64">
        <v>34.630434782608695</v>
      </c>
      <c r="K106" s="65">
        <v>-34.630434782608695</v>
      </c>
      <c r="L106" s="66">
        <v>0</v>
      </c>
      <c r="M106" s="64">
        <v>0</v>
      </c>
      <c r="N106" s="65">
        <v>0</v>
      </c>
      <c r="O106" s="66">
        <v>0</v>
      </c>
      <c r="P106" s="64">
        <v>17.677647058823528</v>
      </c>
      <c r="Q106" s="65">
        <v>-17.677647058823528</v>
      </c>
    </row>
    <row r="107" spans="2:17" x14ac:dyDescent="0.3">
      <c r="B107" s="62" t="s">
        <v>124</v>
      </c>
      <c r="C107" s="63">
        <v>0</v>
      </c>
      <c r="D107" s="64">
        <v>12.695652173913043</v>
      </c>
      <c r="E107" s="65">
        <v>-12.695652173913043</v>
      </c>
      <c r="F107" s="66">
        <v>0</v>
      </c>
      <c r="G107" s="64">
        <v>70.456521739130437</v>
      </c>
      <c r="H107" s="65">
        <v>-70.456521739130437</v>
      </c>
      <c r="I107" s="66">
        <v>0</v>
      </c>
      <c r="J107" s="64">
        <v>0</v>
      </c>
      <c r="K107" s="65">
        <v>0</v>
      </c>
      <c r="L107" s="66">
        <v>0</v>
      </c>
      <c r="M107" s="64">
        <v>0</v>
      </c>
      <c r="N107" s="65">
        <v>0</v>
      </c>
      <c r="O107" s="66">
        <v>0</v>
      </c>
      <c r="P107" s="64">
        <v>37.647058823529413</v>
      </c>
      <c r="Q107" s="65">
        <v>-37.647058823529413</v>
      </c>
    </row>
    <row r="108" spans="2:17" x14ac:dyDescent="0.3">
      <c r="B108" s="62" t="s">
        <v>125</v>
      </c>
      <c r="C108" s="63">
        <v>0</v>
      </c>
      <c r="D108" s="64">
        <v>24.260869565217391</v>
      </c>
      <c r="E108" s="65">
        <v>-24.260869565217391</v>
      </c>
      <c r="F108" s="66">
        <v>0</v>
      </c>
      <c r="G108" s="64">
        <v>41.565217391304351</v>
      </c>
      <c r="H108" s="65">
        <v>-41.565217391304351</v>
      </c>
      <c r="I108" s="66">
        <v>0</v>
      </c>
      <c r="J108" s="64">
        <v>44.130434782608695</v>
      </c>
      <c r="K108" s="65">
        <v>-44.130434782608695</v>
      </c>
      <c r="L108" s="66">
        <v>0</v>
      </c>
      <c r="M108" s="64">
        <v>0</v>
      </c>
      <c r="N108" s="65">
        <v>0</v>
      </c>
      <c r="O108" s="66">
        <v>0</v>
      </c>
      <c r="P108" s="64">
        <v>31.176470588235293</v>
      </c>
      <c r="Q108" s="65">
        <v>-31.176470588235293</v>
      </c>
    </row>
    <row r="109" spans="2:17" x14ac:dyDescent="0.3">
      <c r="B109" s="62" t="s">
        <v>126</v>
      </c>
      <c r="C109" s="63">
        <v>0</v>
      </c>
      <c r="D109" s="64">
        <v>40.019230769230766</v>
      </c>
      <c r="E109" s="65">
        <v>-40.019230769230766</v>
      </c>
      <c r="F109" s="66">
        <v>0</v>
      </c>
      <c r="G109" s="64">
        <v>27.121212121212114</v>
      </c>
      <c r="H109" s="65">
        <v>-27.121212121212114</v>
      </c>
      <c r="I109" s="66">
        <v>0</v>
      </c>
      <c r="J109" s="64">
        <v>31.745454545454546</v>
      </c>
      <c r="K109" s="65">
        <v>-31.745454545454546</v>
      </c>
      <c r="L109" s="66">
        <v>0</v>
      </c>
      <c r="M109" s="64">
        <v>0</v>
      </c>
      <c r="N109" s="65">
        <v>0</v>
      </c>
      <c r="O109" s="66">
        <v>0</v>
      </c>
      <c r="P109" s="64">
        <v>90.25</v>
      </c>
      <c r="Q109" s="65">
        <v>-90.25</v>
      </c>
    </row>
    <row r="110" spans="2:17" x14ac:dyDescent="0.3">
      <c r="B110" s="62" t="s">
        <v>127</v>
      </c>
      <c r="C110" s="63">
        <v>0</v>
      </c>
      <c r="D110" s="64">
        <v>427.64516129032262</v>
      </c>
      <c r="E110" s="65">
        <v>-427.64516129032262</v>
      </c>
      <c r="F110" s="66">
        <v>0</v>
      </c>
      <c r="G110" s="64">
        <v>598.66138834237393</v>
      </c>
      <c r="H110" s="65">
        <v>-598.66138834237393</v>
      </c>
      <c r="I110" s="66">
        <v>0</v>
      </c>
      <c r="J110" s="64">
        <v>545.55873285308417</v>
      </c>
      <c r="K110" s="65">
        <v>-545.55873285308417</v>
      </c>
      <c r="L110" s="66">
        <v>0</v>
      </c>
      <c r="M110" s="64">
        <v>0</v>
      </c>
      <c r="N110" s="65">
        <v>0</v>
      </c>
      <c r="O110" s="66">
        <v>0</v>
      </c>
      <c r="P110" s="64">
        <v>843.0561017785019</v>
      </c>
      <c r="Q110" s="65">
        <v>-843.0561017785019</v>
      </c>
    </row>
    <row r="111" spans="2:17" x14ac:dyDescent="0.3">
      <c r="B111" s="62" t="s">
        <v>128</v>
      </c>
      <c r="C111" s="63">
        <v>0</v>
      </c>
      <c r="D111" s="64">
        <v>2.9798387096774195</v>
      </c>
      <c r="E111" s="65">
        <v>-2.9798387096774195</v>
      </c>
      <c r="F111" s="66">
        <v>0</v>
      </c>
      <c r="G111" s="64">
        <v>21.838709677419352</v>
      </c>
      <c r="H111" s="65">
        <v>-21.838709677419352</v>
      </c>
      <c r="I111" s="66">
        <v>0</v>
      </c>
      <c r="J111" s="64">
        <v>21.25</v>
      </c>
      <c r="K111" s="65">
        <v>-21.25</v>
      </c>
      <c r="L111" s="66">
        <v>0</v>
      </c>
      <c r="M111" s="64">
        <v>0</v>
      </c>
      <c r="N111" s="65">
        <v>0</v>
      </c>
      <c r="O111" s="66">
        <v>0</v>
      </c>
      <c r="P111" s="64">
        <v>25.88372093023256</v>
      </c>
      <c r="Q111" s="65">
        <v>-25.88372093023256</v>
      </c>
    </row>
    <row r="112" spans="2:17" x14ac:dyDescent="0.3">
      <c r="B112" s="62" t="s">
        <v>129</v>
      </c>
      <c r="C112" s="63">
        <v>0</v>
      </c>
      <c r="D112" s="64">
        <v>0.38200000000000001</v>
      </c>
      <c r="E112" s="65">
        <v>-0.38200000000000001</v>
      </c>
      <c r="F112" s="66">
        <v>0</v>
      </c>
      <c r="G112" s="64">
        <v>0</v>
      </c>
      <c r="H112" s="65">
        <v>0</v>
      </c>
      <c r="I112" s="66">
        <v>0</v>
      </c>
      <c r="J112" s="64">
        <v>0</v>
      </c>
      <c r="K112" s="65">
        <v>0</v>
      </c>
      <c r="L112" s="66">
        <v>0</v>
      </c>
      <c r="M112" s="64">
        <v>0</v>
      </c>
      <c r="N112" s="65">
        <v>0</v>
      </c>
      <c r="O112" s="66">
        <v>0</v>
      </c>
      <c r="P112" s="64">
        <v>0</v>
      </c>
      <c r="Q112" s="65">
        <v>0</v>
      </c>
    </row>
    <row r="113" spans="2:17" x14ac:dyDescent="0.3">
      <c r="B113" s="62" t="s">
        <v>130</v>
      </c>
      <c r="C113" s="63">
        <v>0</v>
      </c>
      <c r="D113" s="64">
        <v>4.6535518350222613</v>
      </c>
      <c r="E113" s="65">
        <v>-4.6535518350222613</v>
      </c>
      <c r="F113" s="66">
        <v>0</v>
      </c>
      <c r="G113" s="64">
        <v>0</v>
      </c>
      <c r="H113" s="65">
        <v>0</v>
      </c>
      <c r="I113" s="66">
        <v>0</v>
      </c>
      <c r="J113" s="64">
        <v>63.691481798039455</v>
      </c>
      <c r="K113" s="65">
        <v>-63.691481798039455</v>
      </c>
      <c r="L113" s="66">
        <v>0</v>
      </c>
      <c r="M113" s="64">
        <v>0</v>
      </c>
      <c r="N113" s="65">
        <v>0</v>
      </c>
      <c r="O113" s="66">
        <v>0</v>
      </c>
      <c r="P113" s="64">
        <v>51.457410891606564</v>
      </c>
      <c r="Q113" s="65">
        <v>-51.457410891606564</v>
      </c>
    </row>
    <row r="114" spans="2:17" x14ac:dyDescent="0.3">
      <c r="B114" s="62" t="s">
        <v>131</v>
      </c>
      <c r="C114" s="63">
        <v>0</v>
      </c>
      <c r="D114" s="64">
        <v>5.4094620557156581E-2</v>
      </c>
      <c r="E114" s="65">
        <v>-5.4094620557156581E-2</v>
      </c>
      <c r="F114" s="66">
        <v>0</v>
      </c>
      <c r="G114" s="64">
        <v>2.7482496083794591E-2</v>
      </c>
      <c r="H114" s="65">
        <v>-2.7482496083794591E-2</v>
      </c>
      <c r="I114" s="66">
        <v>0</v>
      </c>
      <c r="J114" s="64">
        <v>0</v>
      </c>
      <c r="K114" s="65">
        <v>0</v>
      </c>
      <c r="L114" s="66">
        <v>0</v>
      </c>
      <c r="M114" s="64">
        <v>0</v>
      </c>
      <c r="N114" s="65">
        <v>0</v>
      </c>
      <c r="O114" s="66">
        <v>0</v>
      </c>
      <c r="P114" s="64">
        <v>5.8602150537634408E-2</v>
      </c>
      <c r="Q114" s="65">
        <v>-5.8602150537634408E-2</v>
      </c>
    </row>
    <row r="115" spans="2:17" x14ac:dyDescent="0.3">
      <c r="B115" s="62" t="s">
        <v>132</v>
      </c>
      <c r="C115" s="63">
        <v>0</v>
      </c>
      <c r="D115" s="64">
        <v>0</v>
      </c>
      <c r="E115" s="65">
        <v>0</v>
      </c>
      <c r="F115" s="66">
        <v>0</v>
      </c>
      <c r="G115" s="64">
        <v>368.08510638297867</v>
      </c>
      <c r="H115" s="65">
        <v>-368.08510638297867</v>
      </c>
      <c r="I115" s="66">
        <v>0</v>
      </c>
      <c r="J115" s="64">
        <v>40.819327731092436</v>
      </c>
      <c r="K115" s="65">
        <v>-40.819327731092436</v>
      </c>
      <c r="L115" s="66">
        <v>0</v>
      </c>
      <c r="M115" s="64">
        <v>0</v>
      </c>
      <c r="N115" s="65">
        <v>0</v>
      </c>
      <c r="O115" s="66">
        <v>0</v>
      </c>
      <c r="P115" s="64">
        <v>6.5238095238095237</v>
      </c>
      <c r="Q115" s="65">
        <v>-6.5238095238095237</v>
      </c>
    </row>
    <row r="116" spans="2:17" x14ac:dyDescent="0.3">
      <c r="B116" s="62" t="s">
        <v>133</v>
      </c>
      <c r="C116" s="63">
        <v>0</v>
      </c>
      <c r="D116" s="64">
        <v>4.3033745405947212E-2</v>
      </c>
      <c r="E116" s="65">
        <v>-4.3033745405947212E-2</v>
      </c>
      <c r="F116" s="66">
        <v>0</v>
      </c>
      <c r="G116" s="64">
        <v>0.12298619921956808</v>
      </c>
      <c r="H116" s="65">
        <v>-0.12298619921956808</v>
      </c>
      <c r="I116" s="66">
        <v>0</v>
      </c>
      <c r="J116" s="64">
        <v>0</v>
      </c>
      <c r="K116" s="65">
        <v>0</v>
      </c>
      <c r="L116" s="66">
        <v>0</v>
      </c>
      <c r="M116" s="64">
        <v>0</v>
      </c>
      <c r="N116" s="65">
        <v>0</v>
      </c>
      <c r="O116" s="66">
        <v>0</v>
      </c>
      <c r="P116" s="64">
        <v>0.44647302904564318</v>
      </c>
      <c r="Q116" s="65">
        <v>-0.44647302904564318</v>
      </c>
    </row>
    <row r="117" spans="2:17" x14ac:dyDescent="0.3">
      <c r="B117" s="62" t="s">
        <v>134</v>
      </c>
      <c r="C117" s="63">
        <v>0</v>
      </c>
      <c r="D117" s="64">
        <v>0</v>
      </c>
      <c r="E117" s="65">
        <v>0</v>
      </c>
      <c r="F117" s="66">
        <v>0</v>
      </c>
      <c r="G117" s="64">
        <v>0.27852049910873439</v>
      </c>
      <c r="H117" s="65">
        <v>-0.27852049910873439</v>
      </c>
      <c r="I117" s="66">
        <v>0</v>
      </c>
      <c r="J117" s="64">
        <v>0</v>
      </c>
      <c r="K117" s="65">
        <v>0</v>
      </c>
      <c r="L117" s="66">
        <v>0</v>
      </c>
      <c r="M117" s="64">
        <v>0</v>
      </c>
      <c r="N117" s="65">
        <v>0</v>
      </c>
      <c r="O117" s="66">
        <v>0</v>
      </c>
      <c r="P117" s="64">
        <v>4.871428571428571</v>
      </c>
      <c r="Q117" s="65">
        <v>-4.871428571428571</v>
      </c>
    </row>
    <row r="118" spans="2:17" x14ac:dyDescent="0.3">
      <c r="B118" s="62" t="s">
        <v>135</v>
      </c>
      <c r="C118" s="63">
        <v>0</v>
      </c>
      <c r="D118" s="64">
        <v>1.1300334235237944E-2</v>
      </c>
      <c r="E118" s="65">
        <v>-1.1300334235237944E-2</v>
      </c>
      <c r="F118" s="66">
        <v>0</v>
      </c>
      <c r="G118" s="64">
        <v>1.9076974341886037E-2</v>
      </c>
      <c r="H118" s="65">
        <v>-1.9076974341886037E-2</v>
      </c>
      <c r="I118" s="66">
        <v>0</v>
      </c>
      <c r="J118" s="64">
        <v>0</v>
      </c>
      <c r="K118" s="65">
        <v>0</v>
      </c>
      <c r="L118" s="66">
        <v>0</v>
      </c>
      <c r="M118" s="64">
        <v>0</v>
      </c>
      <c r="N118" s="65">
        <v>0</v>
      </c>
      <c r="O118" s="66">
        <v>0</v>
      </c>
      <c r="P118" s="64">
        <v>0</v>
      </c>
      <c r="Q118" s="65">
        <v>0</v>
      </c>
    </row>
    <row r="119" spans="2:17" x14ac:dyDescent="0.3">
      <c r="B119" s="62" t="s">
        <v>136</v>
      </c>
      <c r="C119" s="63">
        <v>0</v>
      </c>
      <c r="D119" s="64">
        <v>1.2335610153940258E-2</v>
      </c>
      <c r="E119" s="65">
        <v>-1.2335610153940258E-2</v>
      </c>
      <c r="F119" s="66">
        <v>0</v>
      </c>
      <c r="G119" s="64">
        <v>5.0050576107156276E-3</v>
      </c>
      <c r="H119" s="65">
        <v>-5.0050576107156276E-3</v>
      </c>
      <c r="I119" s="66">
        <v>0</v>
      </c>
      <c r="J119" s="64">
        <v>0</v>
      </c>
      <c r="K119" s="65">
        <v>0</v>
      </c>
      <c r="L119" s="66">
        <v>0</v>
      </c>
      <c r="M119" s="64">
        <v>0</v>
      </c>
      <c r="N119" s="65">
        <v>0</v>
      </c>
      <c r="O119" s="66">
        <v>0</v>
      </c>
      <c r="P119" s="64">
        <v>4.2261854450173275E-4</v>
      </c>
      <c r="Q119" s="65">
        <v>-4.2261854450173275E-4</v>
      </c>
    </row>
    <row r="120" spans="2:17" x14ac:dyDescent="0.3">
      <c r="B120" s="62" t="s">
        <v>137</v>
      </c>
      <c r="C120" s="63">
        <v>0</v>
      </c>
      <c r="D120" s="64">
        <v>3.9759404628402486E-3</v>
      </c>
      <c r="E120" s="65">
        <v>-3.9759404628402486E-3</v>
      </c>
      <c r="F120" s="66">
        <v>0</v>
      </c>
      <c r="G120" s="64">
        <v>6.5789473684210525E-4</v>
      </c>
      <c r="H120" s="65">
        <v>-6.5789473684210525E-4</v>
      </c>
      <c r="I120" s="66">
        <v>0</v>
      </c>
      <c r="J120" s="64">
        <v>0</v>
      </c>
      <c r="K120" s="65">
        <v>0</v>
      </c>
      <c r="L120" s="66">
        <v>0</v>
      </c>
      <c r="M120" s="64">
        <v>0</v>
      </c>
      <c r="N120" s="65">
        <v>0</v>
      </c>
      <c r="O120" s="66">
        <v>0</v>
      </c>
      <c r="P120" s="64">
        <v>6.339278167525991E-4</v>
      </c>
      <c r="Q120" s="65">
        <v>-6.339278167525991E-4</v>
      </c>
    </row>
    <row r="121" spans="2:17" x14ac:dyDescent="0.3">
      <c r="B121" s="62" t="s">
        <v>138</v>
      </c>
      <c r="C121" s="63">
        <v>0</v>
      </c>
      <c r="D121" s="64">
        <v>2.7199999999999998E-2</v>
      </c>
      <c r="E121" s="65">
        <v>-2.7199999999999998E-2</v>
      </c>
      <c r="F121" s="66">
        <v>0</v>
      </c>
      <c r="G121" s="64">
        <v>9.7922534095293057E-2</v>
      </c>
      <c r="H121" s="65">
        <v>-9.7922534095293057E-2</v>
      </c>
      <c r="I121" s="66">
        <v>0</v>
      </c>
      <c r="J121" s="64">
        <v>0</v>
      </c>
      <c r="K121" s="65">
        <v>0</v>
      </c>
      <c r="L121" s="66">
        <v>0</v>
      </c>
      <c r="M121" s="64">
        <v>0</v>
      </c>
      <c r="N121" s="65">
        <v>0</v>
      </c>
      <c r="O121" s="66">
        <v>0</v>
      </c>
      <c r="P121" s="64">
        <v>0</v>
      </c>
      <c r="Q121" s="65">
        <v>0</v>
      </c>
    </row>
    <row r="122" spans="2:17" x14ac:dyDescent="0.3">
      <c r="B122" s="62" t="s">
        <v>139</v>
      </c>
      <c r="C122" s="63">
        <v>0</v>
      </c>
      <c r="D122" s="64">
        <v>5.7295334507042252E-2</v>
      </c>
      <c r="E122" s="65">
        <v>-5.7295334507042252E-2</v>
      </c>
      <c r="F122" s="66">
        <v>0</v>
      </c>
      <c r="G122" s="64">
        <v>0.10669028883155937</v>
      </c>
      <c r="H122" s="65">
        <v>-0.10669028883155937</v>
      </c>
      <c r="I122" s="66">
        <v>0</v>
      </c>
      <c r="J122" s="64">
        <v>0</v>
      </c>
      <c r="K122" s="65">
        <v>0</v>
      </c>
      <c r="L122" s="66">
        <v>0</v>
      </c>
      <c r="M122" s="64">
        <v>0</v>
      </c>
      <c r="N122" s="65">
        <v>0</v>
      </c>
      <c r="O122" s="66">
        <v>0</v>
      </c>
      <c r="P122" s="64">
        <v>3.7959183673469385E-2</v>
      </c>
      <c r="Q122" s="65">
        <v>-3.7959183673469385E-2</v>
      </c>
    </row>
    <row r="123" spans="2:17" x14ac:dyDescent="0.3">
      <c r="B123" s="62" t="s">
        <v>140</v>
      </c>
      <c r="C123" s="63">
        <v>0</v>
      </c>
      <c r="D123" s="64">
        <v>0</v>
      </c>
      <c r="E123" s="65">
        <v>0</v>
      </c>
      <c r="F123" s="66">
        <v>0</v>
      </c>
      <c r="G123" s="64">
        <v>0</v>
      </c>
      <c r="H123" s="65">
        <v>0</v>
      </c>
      <c r="I123" s="66">
        <v>0</v>
      </c>
      <c r="J123" s="64">
        <v>0</v>
      </c>
      <c r="K123" s="65">
        <v>0</v>
      </c>
      <c r="L123" s="66">
        <v>0</v>
      </c>
      <c r="M123" s="64">
        <v>0</v>
      </c>
      <c r="N123" s="65">
        <v>0</v>
      </c>
      <c r="O123" s="66">
        <v>0</v>
      </c>
      <c r="P123" s="64">
        <v>0</v>
      </c>
      <c r="Q123" s="65">
        <v>0</v>
      </c>
    </row>
    <row r="124" spans="2:17" x14ac:dyDescent="0.3">
      <c r="B124" s="62" t="s">
        <v>141</v>
      </c>
      <c r="C124" s="63">
        <v>0</v>
      </c>
      <c r="D124" s="64">
        <v>200.79646017699125</v>
      </c>
      <c r="E124" s="65">
        <v>-200.79646017699125</v>
      </c>
      <c r="F124" s="66">
        <v>0</v>
      </c>
      <c r="G124" s="64">
        <v>0</v>
      </c>
      <c r="H124" s="65">
        <v>0</v>
      </c>
      <c r="I124" s="66">
        <v>0</v>
      </c>
      <c r="J124" s="64">
        <v>0</v>
      </c>
      <c r="K124" s="65">
        <v>0</v>
      </c>
      <c r="L124" s="66">
        <v>0</v>
      </c>
      <c r="M124" s="64">
        <v>0</v>
      </c>
      <c r="N124" s="65">
        <v>0</v>
      </c>
      <c r="O124" s="66">
        <v>0</v>
      </c>
      <c r="P124" s="64">
        <v>0</v>
      </c>
      <c r="Q124" s="65">
        <v>0</v>
      </c>
    </row>
    <row r="125" spans="2:17" x14ac:dyDescent="0.3">
      <c r="B125" s="62" t="s">
        <v>142</v>
      </c>
      <c r="C125" s="63">
        <v>0</v>
      </c>
      <c r="D125" s="64">
        <v>129.35064935064935</v>
      </c>
      <c r="E125" s="65">
        <v>-129.35064935064935</v>
      </c>
      <c r="F125" s="66">
        <v>0</v>
      </c>
      <c r="G125" s="64">
        <v>0</v>
      </c>
      <c r="H125" s="65">
        <v>0</v>
      </c>
      <c r="I125" s="66">
        <v>0</v>
      </c>
      <c r="J125" s="64">
        <v>0</v>
      </c>
      <c r="K125" s="65">
        <v>0</v>
      </c>
      <c r="L125" s="66">
        <v>0</v>
      </c>
      <c r="M125" s="64">
        <v>0</v>
      </c>
      <c r="N125" s="65">
        <v>0</v>
      </c>
      <c r="O125" s="66">
        <v>0</v>
      </c>
      <c r="P125" s="64">
        <v>0</v>
      </c>
      <c r="Q125" s="65">
        <v>0</v>
      </c>
    </row>
    <row r="126" spans="2:17" x14ac:dyDescent="0.3">
      <c r="B126" s="62" t="s">
        <v>143</v>
      </c>
      <c r="C126" s="63">
        <v>0</v>
      </c>
      <c r="D126" s="64">
        <v>48.557692307692307</v>
      </c>
      <c r="E126" s="65">
        <v>-48.557692307692307</v>
      </c>
      <c r="F126" s="66">
        <v>0</v>
      </c>
      <c r="G126" s="64">
        <v>13.531799729364007</v>
      </c>
      <c r="H126" s="65">
        <v>-13.531799729364007</v>
      </c>
      <c r="I126" s="66">
        <v>0</v>
      </c>
      <c r="J126" s="64">
        <v>331.33333333333331</v>
      </c>
      <c r="K126" s="65">
        <v>-331.33333333333331</v>
      </c>
      <c r="L126" s="66">
        <v>0</v>
      </c>
      <c r="M126" s="64">
        <v>0</v>
      </c>
      <c r="N126" s="65">
        <v>0</v>
      </c>
      <c r="O126" s="66">
        <v>0</v>
      </c>
      <c r="P126" s="64">
        <v>45.845272206303719</v>
      </c>
      <c r="Q126" s="65">
        <v>-45.845272206303719</v>
      </c>
    </row>
    <row r="127" spans="2:17" x14ac:dyDescent="0.3">
      <c r="B127" s="62" t="s">
        <v>144</v>
      </c>
      <c r="C127" s="63">
        <v>0</v>
      </c>
      <c r="D127" s="64">
        <v>6.5217391304347823</v>
      </c>
      <c r="E127" s="65">
        <v>-6.5217391304347823</v>
      </c>
      <c r="F127" s="66">
        <v>0</v>
      </c>
      <c r="G127" s="64">
        <v>0</v>
      </c>
      <c r="H127" s="65">
        <v>0</v>
      </c>
      <c r="I127" s="66">
        <v>0</v>
      </c>
      <c r="J127" s="64">
        <v>0</v>
      </c>
      <c r="K127" s="65">
        <v>0</v>
      </c>
      <c r="L127" s="66">
        <v>0</v>
      </c>
      <c r="M127" s="64">
        <v>0</v>
      </c>
      <c r="N127" s="65">
        <v>0</v>
      </c>
      <c r="O127" s="66">
        <v>0</v>
      </c>
      <c r="P127" s="64">
        <v>37.647058823529413</v>
      </c>
      <c r="Q127" s="65">
        <v>-37.647058823529413</v>
      </c>
    </row>
    <row r="128" spans="2:17" x14ac:dyDescent="0.3">
      <c r="B128" s="62" t="s">
        <v>145</v>
      </c>
      <c r="C128" s="63">
        <v>0</v>
      </c>
      <c r="D128" s="64">
        <v>3.063558798070978E-2</v>
      </c>
      <c r="E128" s="65">
        <v>-3.063558798070978E-2</v>
      </c>
      <c r="F128" s="66">
        <v>0</v>
      </c>
      <c r="G128" s="64">
        <v>2.0535434365734274E-2</v>
      </c>
      <c r="H128" s="65">
        <v>-2.0535434365734274E-2</v>
      </c>
      <c r="I128" s="66">
        <v>0</v>
      </c>
      <c r="J128" s="64">
        <v>0</v>
      </c>
      <c r="K128" s="65">
        <v>0</v>
      </c>
      <c r="L128" s="66">
        <v>0</v>
      </c>
      <c r="M128" s="64">
        <v>0</v>
      </c>
      <c r="N128" s="65">
        <v>0</v>
      </c>
      <c r="O128" s="66">
        <v>0</v>
      </c>
      <c r="P128" s="64">
        <v>0</v>
      </c>
      <c r="Q128" s="65">
        <v>0</v>
      </c>
    </row>
    <row r="129" spans="2:17" x14ac:dyDescent="0.3">
      <c r="B129" s="62" t="s">
        <v>146</v>
      </c>
      <c r="C129" s="63">
        <v>0</v>
      </c>
      <c r="D129" s="64">
        <v>115.53846153846155</v>
      </c>
      <c r="E129" s="65">
        <v>-115.53846153846155</v>
      </c>
      <c r="F129" s="66">
        <v>0</v>
      </c>
      <c r="G129" s="64">
        <v>93.636363636363598</v>
      </c>
      <c r="H129" s="65">
        <v>-93.636363636363598</v>
      </c>
      <c r="I129" s="66">
        <v>0</v>
      </c>
      <c r="J129" s="64">
        <v>0</v>
      </c>
      <c r="K129" s="65">
        <v>0</v>
      </c>
      <c r="L129" s="66">
        <v>0</v>
      </c>
      <c r="M129" s="64">
        <v>0</v>
      </c>
      <c r="N129" s="65">
        <v>0</v>
      </c>
      <c r="O129" s="66">
        <v>0</v>
      </c>
      <c r="P129" s="64">
        <v>131.5</v>
      </c>
      <c r="Q129" s="65">
        <v>-131.5</v>
      </c>
    </row>
    <row r="130" spans="2:17" x14ac:dyDescent="0.3">
      <c r="B130" s="62" t="s">
        <v>147</v>
      </c>
      <c r="C130" s="63">
        <v>0</v>
      </c>
      <c r="D130" s="64">
        <v>0</v>
      </c>
      <c r="E130" s="65">
        <v>0</v>
      </c>
      <c r="F130" s="66">
        <v>0</v>
      </c>
      <c r="G130" s="64">
        <v>0</v>
      </c>
      <c r="H130" s="65">
        <v>0</v>
      </c>
      <c r="I130" s="66">
        <v>0</v>
      </c>
      <c r="J130" s="64">
        <v>5.1754489200699316</v>
      </c>
      <c r="K130" s="65">
        <v>-5.1754489200699316</v>
      </c>
      <c r="L130" s="66">
        <v>0</v>
      </c>
      <c r="M130" s="64">
        <v>0</v>
      </c>
      <c r="N130" s="65">
        <v>0</v>
      </c>
      <c r="O130" s="66">
        <v>0</v>
      </c>
      <c r="P130" s="64">
        <v>0</v>
      </c>
      <c r="Q130" s="65">
        <v>0</v>
      </c>
    </row>
    <row r="131" spans="2:17" x14ac:dyDescent="0.3">
      <c r="B131" s="23" t="s">
        <v>148</v>
      </c>
      <c r="C131" s="24"/>
      <c r="D131" s="25"/>
      <c r="E131" s="26"/>
      <c r="F131" s="27"/>
      <c r="G131" s="25"/>
      <c r="H131" s="26"/>
      <c r="I131" s="27"/>
      <c r="J131" s="25"/>
      <c r="K131" s="26"/>
      <c r="L131" s="27"/>
      <c r="M131" s="25"/>
      <c r="N131" s="26"/>
      <c r="O131" s="27"/>
      <c r="P131" s="25"/>
      <c r="Q131" s="26"/>
    </row>
    <row r="132" spans="2:17" x14ac:dyDescent="0.3">
      <c r="B132" s="62" t="s">
        <v>149</v>
      </c>
      <c r="C132" s="63">
        <v>0</v>
      </c>
      <c r="D132" s="64">
        <v>44010.330000000009</v>
      </c>
      <c r="E132" s="65">
        <v>-44010.330000000009</v>
      </c>
      <c r="F132" s="64">
        <v>0</v>
      </c>
      <c r="G132" s="64">
        <v>37610</v>
      </c>
      <c r="H132" s="65">
        <v>-37610</v>
      </c>
      <c r="I132" s="64">
        <v>0</v>
      </c>
      <c r="J132" s="64">
        <v>40910.199999999997</v>
      </c>
      <c r="K132" s="65">
        <v>-40910.199999999997</v>
      </c>
      <c r="L132" s="64">
        <v>0</v>
      </c>
      <c r="M132" s="64">
        <v>0</v>
      </c>
      <c r="N132" s="65">
        <v>0</v>
      </c>
      <c r="O132" s="64">
        <v>0</v>
      </c>
      <c r="P132" s="64">
        <v>15844.75</v>
      </c>
      <c r="Q132" s="65">
        <v>-15844.75</v>
      </c>
    </row>
    <row r="133" spans="2:17" x14ac:dyDescent="0.3">
      <c r="B133" s="62" t="s">
        <v>150</v>
      </c>
      <c r="C133" s="63">
        <v>0</v>
      </c>
      <c r="D133" s="64">
        <v>21512.46</v>
      </c>
      <c r="E133" s="65">
        <v>-21512.46</v>
      </c>
      <c r="F133" s="64">
        <v>0</v>
      </c>
      <c r="G133" s="64">
        <v>4994.5</v>
      </c>
      <c r="H133" s="65">
        <v>-4994.5</v>
      </c>
      <c r="I133" s="64">
        <v>0</v>
      </c>
      <c r="J133" s="64">
        <v>10351.5</v>
      </c>
      <c r="K133" s="65">
        <v>-10351.5</v>
      </c>
      <c r="L133" s="64">
        <v>0</v>
      </c>
      <c r="M133" s="64">
        <v>0</v>
      </c>
      <c r="N133" s="65">
        <v>0</v>
      </c>
      <c r="O133" s="64">
        <v>0</v>
      </c>
      <c r="P133" s="64">
        <v>10816.5</v>
      </c>
      <c r="Q133" s="65">
        <v>-10816.5</v>
      </c>
    </row>
    <row r="134" spans="2:17" x14ac:dyDescent="0.3">
      <c r="B134" s="62" t="s">
        <v>151</v>
      </c>
      <c r="C134" s="63">
        <v>0</v>
      </c>
      <c r="D134" s="64">
        <v>2106.5</v>
      </c>
      <c r="E134" s="65">
        <v>-2106.5</v>
      </c>
      <c r="F134" s="64">
        <v>0</v>
      </c>
      <c r="G134" s="64">
        <v>2291</v>
      </c>
      <c r="H134" s="65">
        <v>-2291</v>
      </c>
      <c r="I134" s="64">
        <v>0</v>
      </c>
      <c r="J134" s="64">
        <v>4254</v>
      </c>
      <c r="K134" s="65">
        <v>-4254</v>
      </c>
      <c r="L134" s="64">
        <v>0</v>
      </c>
      <c r="M134" s="64">
        <v>0</v>
      </c>
      <c r="N134" s="65">
        <v>0</v>
      </c>
      <c r="O134" s="64">
        <v>0</v>
      </c>
      <c r="P134" s="64">
        <v>1533</v>
      </c>
      <c r="Q134" s="65">
        <v>-1533</v>
      </c>
    </row>
    <row r="135" spans="2:17" x14ac:dyDescent="0.3">
      <c r="B135" s="62" t="s">
        <v>152</v>
      </c>
      <c r="C135" s="63">
        <v>0</v>
      </c>
      <c r="D135" s="64">
        <v>111</v>
      </c>
      <c r="E135" s="65">
        <v>-111</v>
      </c>
      <c r="F135" s="64">
        <v>0</v>
      </c>
      <c r="G135" s="64">
        <v>1427.9</v>
      </c>
      <c r="H135" s="65">
        <v>-1427.9</v>
      </c>
      <c r="I135" s="64">
        <v>0</v>
      </c>
      <c r="J135" s="64">
        <v>150</v>
      </c>
      <c r="K135" s="65">
        <v>-150</v>
      </c>
      <c r="L135" s="64">
        <v>0</v>
      </c>
      <c r="M135" s="64">
        <v>0</v>
      </c>
      <c r="N135" s="65">
        <v>0</v>
      </c>
      <c r="O135" s="64">
        <v>0</v>
      </c>
      <c r="P135" s="64">
        <v>0</v>
      </c>
      <c r="Q135" s="65">
        <v>0</v>
      </c>
    </row>
    <row r="136" spans="2:17" x14ac:dyDescent="0.3">
      <c r="B136" s="62" t="s">
        <v>153</v>
      </c>
      <c r="C136" s="63">
        <v>0</v>
      </c>
      <c r="D136" s="64">
        <v>3192</v>
      </c>
      <c r="E136" s="65">
        <v>-3192</v>
      </c>
      <c r="F136" s="64">
        <v>0</v>
      </c>
      <c r="G136" s="64">
        <v>5026</v>
      </c>
      <c r="H136" s="65">
        <v>-5026</v>
      </c>
      <c r="I136" s="64">
        <v>0</v>
      </c>
      <c r="J136" s="64">
        <v>3851.5</v>
      </c>
      <c r="K136" s="65">
        <v>-3851.5</v>
      </c>
      <c r="L136" s="64">
        <v>0</v>
      </c>
      <c r="M136" s="64">
        <v>0</v>
      </c>
      <c r="N136" s="65">
        <v>0</v>
      </c>
      <c r="O136" s="64">
        <v>0</v>
      </c>
      <c r="P136" s="64">
        <v>0</v>
      </c>
      <c r="Q136" s="65">
        <v>0</v>
      </c>
    </row>
    <row r="137" spans="2:17" x14ac:dyDescent="0.3">
      <c r="B137" s="62" t="s">
        <v>154</v>
      </c>
      <c r="C137" s="63">
        <v>0</v>
      </c>
      <c r="D137" s="64">
        <v>4365.5</v>
      </c>
      <c r="E137" s="65">
        <v>-4365.5</v>
      </c>
      <c r="F137" s="64">
        <v>0</v>
      </c>
      <c r="G137" s="64">
        <v>8929.5</v>
      </c>
      <c r="H137" s="65">
        <v>-8929.5</v>
      </c>
      <c r="I137" s="64">
        <v>0</v>
      </c>
      <c r="J137" s="64">
        <v>15846.5</v>
      </c>
      <c r="K137" s="65">
        <v>-15846.5</v>
      </c>
      <c r="L137" s="64">
        <v>0</v>
      </c>
      <c r="M137" s="64">
        <v>0</v>
      </c>
      <c r="N137" s="65">
        <v>0</v>
      </c>
      <c r="O137" s="64">
        <v>0</v>
      </c>
      <c r="P137" s="64">
        <v>5693</v>
      </c>
      <c r="Q137" s="65">
        <v>-5693</v>
      </c>
    </row>
    <row r="138" spans="2:17" x14ac:dyDescent="0.3">
      <c r="B138" s="62" t="s">
        <v>155</v>
      </c>
      <c r="C138" s="63">
        <v>0</v>
      </c>
      <c r="D138" s="64">
        <v>2200</v>
      </c>
      <c r="E138" s="65">
        <v>-2200</v>
      </c>
      <c r="F138" s="64">
        <v>0</v>
      </c>
      <c r="G138" s="64">
        <v>1224</v>
      </c>
      <c r="H138" s="65">
        <v>-1224</v>
      </c>
      <c r="I138" s="64">
        <v>0</v>
      </c>
      <c r="J138" s="64">
        <v>3796.5</v>
      </c>
      <c r="K138" s="65">
        <v>-3796.5</v>
      </c>
      <c r="L138" s="64">
        <v>0</v>
      </c>
      <c r="M138" s="64">
        <v>0</v>
      </c>
      <c r="N138" s="65">
        <v>0</v>
      </c>
      <c r="O138" s="64">
        <v>0</v>
      </c>
      <c r="P138" s="64">
        <v>2372.5</v>
      </c>
      <c r="Q138" s="65">
        <v>-2372.5</v>
      </c>
    </row>
    <row r="139" spans="2:17" x14ac:dyDescent="0.3">
      <c r="B139" s="62" t="s">
        <v>156</v>
      </c>
      <c r="C139" s="63">
        <v>0</v>
      </c>
      <c r="D139" s="64">
        <v>3619.5</v>
      </c>
      <c r="E139" s="65">
        <v>-3619.5</v>
      </c>
      <c r="F139" s="64">
        <v>0</v>
      </c>
      <c r="G139" s="64">
        <v>1330</v>
      </c>
      <c r="H139" s="65">
        <v>-1330</v>
      </c>
      <c r="I139" s="64">
        <v>0</v>
      </c>
      <c r="J139" s="64">
        <v>2891</v>
      </c>
      <c r="K139" s="65">
        <v>-2891</v>
      </c>
      <c r="L139" s="64">
        <v>0</v>
      </c>
      <c r="M139" s="64">
        <v>0</v>
      </c>
      <c r="N139" s="65">
        <v>0</v>
      </c>
      <c r="O139" s="64">
        <v>0</v>
      </c>
      <c r="P139" s="64">
        <v>1283</v>
      </c>
      <c r="Q139" s="65">
        <v>-1283</v>
      </c>
    </row>
    <row r="140" spans="2:17" x14ac:dyDescent="0.3">
      <c r="B140" s="62" t="s">
        <v>157</v>
      </c>
      <c r="C140" s="63">
        <v>0</v>
      </c>
      <c r="D140" s="64">
        <v>0</v>
      </c>
      <c r="E140" s="65">
        <v>0</v>
      </c>
      <c r="F140" s="64">
        <v>0</v>
      </c>
      <c r="G140" s="64">
        <v>1829</v>
      </c>
      <c r="H140" s="65">
        <v>-1829</v>
      </c>
      <c r="I140" s="64">
        <v>0</v>
      </c>
      <c r="J140" s="64">
        <v>2790.5</v>
      </c>
      <c r="K140" s="65">
        <v>-2790.5</v>
      </c>
      <c r="L140" s="64">
        <v>0</v>
      </c>
      <c r="M140" s="64">
        <v>0</v>
      </c>
      <c r="N140" s="65">
        <v>0</v>
      </c>
      <c r="O140" s="64">
        <v>0</v>
      </c>
      <c r="P140" s="64">
        <v>1033.5</v>
      </c>
      <c r="Q140" s="65">
        <v>-1033.5</v>
      </c>
    </row>
    <row r="141" spans="2:17" x14ac:dyDescent="0.3">
      <c r="B141" s="62" t="s">
        <v>158</v>
      </c>
      <c r="C141" s="63">
        <v>0</v>
      </c>
      <c r="D141" s="64">
        <v>0</v>
      </c>
      <c r="E141" s="65">
        <v>0</v>
      </c>
      <c r="F141" s="64">
        <v>0</v>
      </c>
      <c r="G141" s="64">
        <v>6435.5</v>
      </c>
      <c r="H141" s="65">
        <v>-6435.5</v>
      </c>
      <c r="I141" s="64">
        <v>0</v>
      </c>
      <c r="J141" s="64">
        <v>7297.5</v>
      </c>
      <c r="K141" s="65">
        <v>-7297.5</v>
      </c>
      <c r="L141" s="64">
        <v>0</v>
      </c>
      <c r="M141" s="64">
        <v>0</v>
      </c>
      <c r="N141" s="65">
        <v>0</v>
      </c>
      <c r="O141" s="64">
        <v>0</v>
      </c>
      <c r="P141" s="64">
        <v>4656</v>
      </c>
      <c r="Q141" s="65">
        <v>-4656</v>
      </c>
    </row>
    <row r="142" spans="2:17" x14ac:dyDescent="0.3">
      <c r="B142" s="62" t="s">
        <v>159</v>
      </c>
      <c r="C142" s="63">
        <v>0</v>
      </c>
      <c r="D142" s="64">
        <v>1678</v>
      </c>
      <c r="E142" s="65">
        <v>-1678</v>
      </c>
      <c r="F142" s="64">
        <v>0</v>
      </c>
      <c r="G142" s="64">
        <v>2785.5</v>
      </c>
      <c r="H142" s="65">
        <v>-2785.5</v>
      </c>
      <c r="I142" s="64">
        <v>0</v>
      </c>
      <c r="J142" s="64">
        <v>2346</v>
      </c>
      <c r="K142" s="65">
        <v>-2346</v>
      </c>
      <c r="L142" s="64">
        <v>0</v>
      </c>
      <c r="M142" s="64">
        <v>0</v>
      </c>
      <c r="N142" s="65">
        <v>0</v>
      </c>
      <c r="O142" s="64">
        <v>0</v>
      </c>
      <c r="P142" s="64">
        <v>879</v>
      </c>
      <c r="Q142" s="65">
        <v>-879</v>
      </c>
    </row>
    <row r="143" spans="2:17" x14ac:dyDescent="0.3">
      <c r="B143" s="62" t="s">
        <v>160</v>
      </c>
      <c r="C143" s="63">
        <v>0</v>
      </c>
      <c r="D143" s="64">
        <v>6006.5</v>
      </c>
      <c r="E143" s="65">
        <v>-6006.5</v>
      </c>
      <c r="F143" s="64">
        <v>0</v>
      </c>
      <c r="G143" s="64">
        <v>3847</v>
      </c>
      <c r="H143" s="65">
        <v>-3847</v>
      </c>
      <c r="I143" s="64">
        <v>0</v>
      </c>
      <c r="J143" s="64">
        <v>4951</v>
      </c>
      <c r="K143" s="65">
        <v>-4951</v>
      </c>
      <c r="L143" s="64">
        <v>0</v>
      </c>
      <c r="M143" s="64">
        <v>0</v>
      </c>
      <c r="N143" s="65">
        <v>0</v>
      </c>
      <c r="O143" s="64">
        <v>0</v>
      </c>
      <c r="P143" s="64">
        <v>2181</v>
      </c>
      <c r="Q143" s="65">
        <v>-2181</v>
      </c>
    </row>
    <row r="144" spans="2:17" x14ac:dyDescent="0.3">
      <c r="B144" s="62" t="s">
        <v>161</v>
      </c>
      <c r="C144" s="63">
        <v>0</v>
      </c>
      <c r="D144" s="64">
        <v>38858</v>
      </c>
      <c r="E144" s="65">
        <v>-38858</v>
      </c>
      <c r="F144" s="64">
        <v>0</v>
      </c>
      <c r="G144" s="64">
        <v>25363</v>
      </c>
      <c r="H144" s="65">
        <v>-25363</v>
      </c>
      <c r="I144" s="64">
        <v>0</v>
      </c>
      <c r="J144" s="64">
        <v>30778.25</v>
      </c>
      <c r="K144" s="65">
        <v>-30778.25</v>
      </c>
      <c r="L144" s="64">
        <v>0</v>
      </c>
      <c r="M144" s="64">
        <v>0</v>
      </c>
      <c r="N144" s="65">
        <v>0</v>
      </c>
      <c r="O144" s="64">
        <v>0</v>
      </c>
      <c r="P144" s="64">
        <v>13813</v>
      </c>
      <c r="Q144" s="65">
        <v>-13813</v>
      </c>
    </row>
    <row r="145" spans="2:17" x14ac:dyDescent="0.3">
      <c r="B145" s="62" t="s">
        <v>162</v>
      </c>
      <c r="C145" s="63">
        <v>0</v>
      </c>
      <c r="D145" s="64">
        <v>2716</v>
      </c>
      <c r="E145" s="65">
        <v>-2716</v>
      </c>
      <c r="F145" s="64">
        <v>0</v>
      </c>
      <c r="G145" s="64">
        <v>1981</v>
      </c>
      <c r="H145" s="65">
        <v>-1981</v>
      </c>
      <c r="I145" s="64">
        <v>0</v>
      </c>
      <c r="J145" s="64">
        <v>4260</v>
      </c>
      <c r="K145" s="65">
        <v>-4260</v>
      </c>
      <c r="L145" s="64">
        <v>0</v>
      </c>
      <c r="M145" s="64">
        <v>0</v>
      </c>
      <c r="N145" s="65">
        <v>0</v>
      </c>
      <c r="O145" s="64">
        <v>0</v>
      </c>
      <c r="P145" s="64">
        <v>1032</v>
      </c>
      <c r="Q145" s="65">
        <v>-1032</v>
      </c>
    </row>
    <row r="146" spans="2:17" x14ac:dyDescent="0.3">
      <c r="B146" s="62" t="s">
        <v>163</v>
      </c>
      <c r="C146" s="63">
        <v>0</v>
      </c>
      <c r="D146" s="64">
        <v>1240</v>
      </c>
      <c r="E146" s="65">
        <v>-1240</v>
      </c>
      <c r="F146" s="64">
        <v>0</v>
      </c>
      <c r="G146" s="64">
        <v>3438.5</v>
      </c>
      <c r="H146" s="65">
        <v>-3438.5</v>
      </c>
      <c r="I146" s="64">
        <v>0</v>
      </c>
      <c r="J146" s="64">
        <v>3703.5</v>
      </c>
      <c r="K146" s="65">
        <v>-3703.5</v>
      </c>
      <c r="L146" s="64">
        <v>0</v>
      </c>
      <c r="M146" s="64">
        <v>0</v>
      </c>
      <c r="N146" s="65">
        <v>0</v>
      </c>
      <c r="O146" s="64">
        <v>0</v>
      </c>
      <c r="P146" s="64">
        <v>2262</v>
      </c>
      <c r="Q146" s="65">
        <v>-2262</v>
      </c>
    </row>
    <row r="147" spans="2:17" x14ac:dyDescent="0.3">
      <c r="B147" s="62" t="s">
        <v>164</v>
      </c>
      <c r="C147" s="63">
        <v>0</v>
      </c>
      <c r="D147" s="64">
        <v>19799.5</v>
      </c>
      <c r="E147" s="65">
        <v>-19799.5</v>
      </c>
      <c r="F147" s="64">
        <v>0</v>
      </c>
      <c r="G147" s="64">
        <v>17159.25</v>
      </c>
      <c r="H147" s="65">
        <v>-17159.25</v>
      </c>
      <c r="I147" s="64">
        <v>0</v>
      </c>
      <c r="J147" s="64">
        <v>17662.7</v>
      </c>
      <c r="K147" s="65">
        <v>-17662.7</v>
      </c>
      <c r="L147" s="64">
        <v>0</v>
      </c>
      <c r="M147" s="64">
        <v>0</v>
      </c>
      <c r="N147" s="65">
        <v>0</v>
      </c>
      <c r="O147" s="64">
        <v>0</v>
      </c>
      <c r="P147" s="64">
        <v>8425</v>
      </c>
      <c r="Q147" s="65">
        <v>-8425</v>
      </c>
    </row>
    <row r="148" spans="2:17" x14ac:dyDescent="0.3">
      <c r="B148" s="62" t="s">
        <v>165</v>
      </c>
      <c r="C148" s="63">
        <v>0</v>
      </c>
      <c r="D148" s="64">
        <v>1905.5</v>
      </c>
      <c r="E148" s="65">
        <v>-1905.5</v>
      </c>
      <c r="F148" s="64">
        <v>0</v>
      </c>
      <c r="G148" s="64">
        <v>2042</v>
      </c>
      <c r="H148" s="65">
        <v>-2042</v>
      </c>
      <c r="I148" s="64">
        <v>0</v>
      </c>
      <c r="J148" s="64">
        <v>1725.5</v>
      </c>
      <c r="K148" s="65">
        <v>-1725.5</v>
      </c>
      <c r="L148" s="64">
        <v>0</v>
      </c>
      <c r="M148" s="64">
        <v>0</v>
      </c>
      <c r="N148" s="65">
        <v>0</v>
      </c>
      <c r="O148" s="64">
        <v>0</v>
      </c>
      <c r="P148" s="64">
        <v>748</v>
      </c>
      <c r="Q148" s="65">
        <v>-748</v>
      </c>
    </row>
    <row r="149" spans="2:17" x14ac:dyDescent="0.3">
      <c r="B149" s="62" t="s">
        <v>166</v>
      </c>
      <c r="C149" s="63">
        <v>0</v>
      </c>
      <c r="D149" s="64">
        <v>807.5</v>
      </c>
      <c r="E149" s="65">
        <v>-807.5</v>
      </c>
      <c r="F149" s="64">
        <v>0</v>
      </c>
      <c r="G149" s="64">
        <v>628</v>
      </c>
      <c r="H149" s="65">
        <v>-628</v>
      </c>
      <c r="I149" s="64">
        <v>0</v>
      </c>
      <c r="J149" s="64">
        <v>1249</v>
      </c>
      <c r="K149" s="65">
        <v>-1249</v>
      </c>
      <c r="L149" s="64">
        <v>0</v>
      </c>
      <c r="M149" s="64">
        <v>0</v>
      </c>
      <c r="N149" s="65">
        <v>0</v>
      </c>
      <c r="O149" s="64">
        <v>0</v>
      </c>
      <c r="P149" s="64">
        <v>0</v>
      </c>
      <c r="Q149" s="65">
        <v>0</v>
      </c>
    </row>
    <row r="150" spans="2:17" x14ac:dyDescent="0.3">
      <c r="B150" s="62" t="s">
        <v>167</v>
      </c>
      <c r="C150" s="63">
        <v>0</v>
      </c>
      <c r="D150" s="64">
        <v>3421</v>
      </c>
      <c r="E150" s="65">
        <v>-3421</v>
      </c>
      <c r="F150" s="64">
        <v>0</v>
      </c>
      <c r="G150" s="64">
        <v>1220</v>
      </c>
      <c r="H150" s="65">
        <v>-1220</v>
      </c>
      <c r="I150" s="64">
        <v>0</v>
      </c>
      <c r="J150" s="64">
        <v>1586.5</v>
      </c>
      <c r="K150" s="65">
        <v>-1586.5</v>
      </c>
      <c r="L150" s="64">
        <v>0</v>
      </c>
      <c r="M150" s="64">
        <v>0</v>
      </c>
      <c r="N150" s="65">
        <v>0</v>
      </c>
      <c r="O150" s="64">
        <v>0</v>
      </c>
      <c r="P150" s="64">
        <v>393</v>
      </c>
      <c r="Q150" s="65">
        <v>-393</v>
      </c>
    </row>
    <row r="151" spans="2:17" x14ac:dyDescent="0.3">
      <c r="B151" s="62" t="s">
        <v>168</v>
      </c>
      <c r="C151" s="63">
        <v>0</v>
      </c>
      <c r="D151" s="64">
        <v>3055</v>
      </c>
      <c r="E151" s="65">
        <v>-3055</v>
      </c>
      <c r="F151" s="64">
        <v>0</v>
      </c>
      <c r="G151" s="64">
        <v>3253.5</v>
      </c>
      <c r="H151" s="65">
        <v>-3253.5</v>
      </c>
      <c r="I151" s="64">
        <v>0</v>
      </c>
      <c r="J151" s="64">
        <v>2081.5</v>
      </c>
      <c r="K151" s="65">
        <v>-2081.5</v>
      </c>
      <c r="L151" s="64">
        <v>0</v>
      </c>
      <c r="M151" s="64">
        <v>0</v>
      </c>
      <c r="N151" s="65">
        <v>0</v>
      </c>
      <c r="O151" s="64">
        <v>0</v>
      </c>
      <c r="P151" s="64">
        <v>5620.1</v>
      </c>
      <c r="Q151" s="65">
        <v>-5620.1</v>
      </c>
    </row>
    <row r="152" spans="2:17" x14ac:dyDescent="0.3">
      <c r="B152" s="62" t="s">
        <v>169</v>
      </c>
      <c r="C152" s="63">
        <v>0</v>
      </c>
      <c r="D152" s="64">
        <v>356</v>
      </c>
      <c r="E152" s="65">
        <v>-356</v>
      </c>
      <c r="F152" s="64">
        <v>0</v>
      </c>
      <c r="G152" s="64">
        <v>661.5</v>
      </c>
      <c r="H152" s="65">
        <v>-661.5</v>
      </c>
      <c r="I152" s="64">
        <v>0</v>
      </c>
      <c r="J152" s="64">
        <v>842.5</v>
      </c>
      <c r="K152" s="65">
        <v>-842.5</v>
      </c>
      <c r="L152" s="64">
        <v>0</v>
      </c>
      <c r="M152" s="64">
        <v>0</v>
      </c>
      <c r="N152" s="65">
        <v>0</v>
      </c>
      <c r="O152" s="64">
        <v>0</v>
      </c>
      <c r="P152" s="64">
        <v>7</v>
      </c>
      <c r="Q152" s="65">
        <v>-7</v>
      </c>
    </row>
    <row r="153" spans="2:17" x14ac:dyDescent="0.3">
      <c r="B153" s="62" t="s">
        <v>170</v>
      </c>
      <c r="C153" s="63">
        <v>0</v>
      </c>
      <c r="D153" s="64">
        <v>296</v>
      </c>
      <c r="E153" s="65">
        <v>-296</v>
      </c>
      <c r="F153" s="64">
        <v>0</v>
      </c>
      <c r="G153" s="64">
        <v>1336.5</v>
      </c>
      <c r="H153" s="65">
        <v>-1336.5</v>
      </c>
      <c r="I153" s="64">
        <v>0</v>
      </c>
      <c r="J153" s="64">
        <v>1831</v>
      </c>
      <c r="K153" s="65">
        <v>-1831</v>
      </c>
      <c r="L153" s="64">
        <v>0</v>
      </c>
      <c r="M153" s="64">
        <v>0</v>
      </c>
      <c r="N153" s="65">
        <v>0</v>
      </c>
      <c r="O153" s="64">
        <v>0</v>
      </c>
      <c r="P153" s="64">
        <v>1167</v>
      </c>
      <c r="Q153" s="65">
        <v>-1167</v>
      </c>
    </row>
    <row r="154" spans="2:17" x14ac:dyDescent="0.3">
      <c r="B154" s="62" t="s">
        <v>171</v>
      </c>
      <c r="C154" s="63">
        <v>0</v>
      </c>
      <c r="D154" s="64">
        <v>11509</v>
      </c>
      <c r="E154" s="65">
        <v>-11509</v>
      </c>
      <c r="F154" s="64">
        <v>0</v>
      </c>
      <c r="G154" s="64">
        <v>2822</v>
      </c>
      <c r="H154" s="65">
        <v>-2822</v>
      </c>
      <c r="I154" s="64">
        <v>0</v>
      </c>
      <c r="J154" s="64">
        <v>6134</v>
      </c>
      <c r="K154" s="65">
        <v>-6134</v>
      </c>
      <c r="L154" s="64">
        <v>0</v>
      </c>
      <c r="M154" s="64">
        <v>0</v>
      </c>
      <c r="N154" s="65">
        <v>0</v>
      </c>
      <c r="O154" s="64">
        <v>0</v>
      </c>
      <c r="P154" s="64">
        <v>1616.5</v>
      </c>
      <c r="Q154" s="65">
        <v>-1616.5</v>
      </c>
    </row>
    <row r="155" spans="2:17" x14ac:dyDescent="0.3">
      <c r="B155" s="62" t="s">
        <v>172</v>
      </c>
      <c r="C155" s="63">
        <v>0</v>
      </c>
      <c r="D155" s="64">
        <v>1053.5</v>
      </c>
      <c r="E155" s="65">
        <v>-1053.5</v>
      </c>
      <c r="F155" s="64">
        <v>0</v>
      </c>
      <c r="G155" s="64">
        <v>802.5</v>
      </c>
      <c r="H155" s="65">
        <v>-802.5</v>
      </c>
      <c r="I155" s="64">
        <v>0</v>
      </c>
      <c r="J155" s="64">
        <v>0</v>
      </c>
      <c r="K155" s="65">
        <v>0</v>
      </c>
      <c r="L155" s="64">
        <v>0</v>
      </c>
      <c r="M155" s="64">
        <v>0</v>
      </c>
      <c r="N155" s="65">
        <v>0</v>
      </c>
      <c r="O155" s="64">
        <v>0</v>
      </c>
      <c r="P155" s="64">
        <v>0</v>
      </c>
      <c r="Q155" s="65">
        <v>0</v>
      </c>
    </row>
    <row r="156" spans="2:17" x14ac:dyDescent="0.3">
      <c r="B156" s="62" t="s">
        <v>173</v>
      </c>
      <c r="C156" s="63">
        <v>0</v>
      </c>
      <c r="D156" s="64">
        <v>3479</v>
      </c>
      <c r="E156" s="65">
        <v>-3479</v>
      </c>
      <c r="F156" s="64">
        <v>0</v>
      </c>
      <c r="G156" s="64">
        <v>3636.5</v>
      </c>
      <c r="H156" s="65">
        <v>-3636.5</v>
      </c>
      <c r="I156" s="64">
        <v>0</v>
      </c>
      <c r="J156" s="64">
        <v>4283.5</v>
      </c>
      <c r="K156" s="65">
        <v>-4283.5</v>
      </c>
      <c r="L156" s="64">
        <v>0</v>
      </c>
      <c r="M156" s="64">
        <v>0</v>
      </c>
      <c r="N156" s="65">
        <v>0</v>
      </c>
      <c r="O156" s="64">
        <v>0</v>
      </c>
      <c r="P156" s="64">
        <v>3253</v>
      </c>
      <c r="Q156" s="65">
        <v>-3253</v>
      </c>
    </row>
    <row r="157" spans="2:17" x14ac:dyDescent="0.3">
      <c r="B157" s="62" t="s">
        <v>174</v>
      </c>
      <c r="C157" s="63">
        <v>0</v>
      </c>
      <c r="D157" s="64">
        <v>7249</v>
      </c>
      <c r="E157" s="65">
        <v>-7249</v>
      </c>
      <c r="F157" s="64">
        <v>0</v>
      </c>
      <c r="G157" s="64">
        <v>8086.5</v>
      </c>
      <c r="H157" s="65">
        <v>-8086.5</v>
      </c>
      <c r="I157" s="64">
        <v>0</v>
      </c>
      <c r="J157" s="64">
        <v>7782</v>
      </c>
      <c r="K157" s="65">
        <v>-7782</v>
      </c>
      <c r="L157" s="64">
        <v>0</v>
      </c>
      <c r="M157" s="64">
        <v>0</v>
      </c>
      <c r="N157" s="65">
        <v>0</v>
      </c>
      <c r="O157" s="64">
        <v>0</v>
      </c>
      <c r="P157" s="64">
        <v>5188.5</v>
      </c>
      <c r="Q157" s="65">
        <v>-5188.5</v>
      </c>
    </row>
    <row r="158" spans="2:17" x14ac:dyDescent="0.3">
      <c r="B158" s="62" t="s">
        <v>175</v>
      </c>
      <c r="C158" s="63">
        <v>0</v>
      </c>
      <c r="D158" s="64">
        <v>1500</v>
      </c>
      <c r="E158" s="65">
        <v>-1500</v>
      </c>
      <c r="F158" s="64">
        <v>0</v>
      </c>
      <c r="G158" s="64">
        <v>1976.5</v>
      </c>
      <c r="H158" s="65">
        <v>-1976.5</v>
      </c>
      <c r="I158" s="64">
        <v>0</v>
      </c>
      <c r="J158" s="64">
        <v>3883</v>
      </c>
      <c r="K158" s="65">
        <v>-3883</v>
      </c>
      <c r="L158" s="64">
        <v>0</v>
      </c>
      <c r="M158" s="64">
        <v>0</v>
      </c>
      <c r="N158" s="65">
        <v>0</v>
      </c>
      <c r="O158" s="64">
        <v>0</v>
      </c>
      <c r="P158" s="64">
        <v>651</v>
      </c>
      <c r="Q158" s="65">
        <v>-651</v>
      </c>
    </row>
    <row r="159" spans="2:17" x14ac:dyDescent="0.3">
      <c r="B159" s="62" t="s">
        <v>176</v>
      </c>
      <c r="C159" s="63">
        <v>0</v>
      </c>
      <c r="D159" s="64">
        <v>654.5</v>
      </c>
      <c r="E159" s="65">
        <v>-654.5</v>
      </c>
      <c r="F159" s="64">
        <v>0</v>
      </c>
      <c r="G159" s="64">
        <v>2057.5</v>
      </c>
      <c r="H159" s="65">
        <v>-2057.5</v>
      </c>
      <c r="I159" s="64">
        <v>0</v>
      </c>
      <c r="J159" s="64">
        <v>1270</v>
      </c>
      <c r="K159" s="65">
        <v>-1270</v>
      </c>
      <c r="L159" s="64">
        <v>0</v>
      </c>
      <c r="M159" s="64">
        <v>0</v>
      </c>
      <c r="N159" s="65">
        <v>0</v>
      </c>
      <c r="O159" s="64">
        <v>0</v>
      </c>
      <c r="P159" s="64">
        <v>1050</v>
      </c>
      <c r="Q159" s="65">
        <v>-1050</v>
      </c>
    </row>
    <row r="160" spans="2:17" x14ac:dyDescent="0.3">
      <c r="B160" s="62" t="s">
        <v>177</v>
      </c>
      <c r="C160" s="63">
        <v>0</v>
      </c>
      <c r="D160" s="64">
        <v>2418</v>
      </c>
      <c r="E160" s="65">
        <v>-2418</v>
      </c>
      <c r="F160" s="64">
        <v>0</v>
      </c>
      <c r="G160" s="64">
        <v>2635</v>
      </c>
      <c r="H160" s="65">
        <v>-2635</v>
      </c>
      <c r="I160" s="64">
        <v>0</v>
      </c>
      <c r="J160" s="64">
        <v>2949</v>
      </c>
      <c r="K160" s="65">
        <v>-2949</v>
      </c>
      <c r="L160" s="64">
        <v>0</v>
      </c>
      <c r="M160" s="64">
        <v>0</v>
      </c>
      <c r="N160" s="65">
        <v>0</v>
      </c>
      <c r="O160" s="64">
        <v>0</v>
      </c>
      <c r="P160" s="64">
        <v>3027.5</v>
      </c>
      <c r="Q160" s="65">
        <v>-3027.5</v>
      </c>
    </row>
    <row r="161" spans="2:17" x14ac:dyDescent="0.3">
      <c r="B161" s="62" t="s">
        <v>178</v>
      </c>
      <c r="C161" s="63">
        <v>0</v>
      </c>
      <c r="D161" s="64">
        <v>1240</v>
      </c>
      <c r="E161" s="65">
        <v>-1240</v>
      </c>
      <c r="F161" s="64">
        <v>0</v>
      </c>
      <c r="G161" s="64">
        <v>1294</v>
      </c>
      <c r="H161" s="65">
        <v>-1294</v>
      </c>
      <c r="I161" s="64">
        <v>0</v>
      </c>
      <c r="J161" s="64">
        <v>1477</v>
      </c>
      <c r="K161" s="65">
        <v>-1477</v>
      </c>
      <c r="L161" s="64">
        <v>0</v>
      </c>
      <c r="M161" s="64">
        <v>0</v>
      </c>
      <c r="N161" s="65">
        <v>0</v>
      </c>
      <c r="O161" s="64">
        <v>0</v>
      </c>
      <c r="P161" s="64">
        <v>497.5</v>
      </c>
      <c r="Q161" s="65">
        <v>-497.5</v>
      </c>
    </row>
    <row r="162" spans="2:17" x14ac:dyDescent="0.3">
      <c r="B162" s="62" t="s">
        <v>179</v>
      </c>
      <c r="C162" s="63">
        <v>0</v>
      </c>
      <c r="D162" s="64">
        <v>1358</v>
      </c>
      <c r="E162" s="65">
        <v>-1358</v>
      </c>
      <c r="F162" s="64">
        <v>0</v>
      </c>
      <c r="G162" s="64">
        <v>5863</v>
      </c>
      <c r="H162" s="65">
        <v>-5863</v>
      </c>
      <c r="I162" s="64">
        <v>0</v>
      </c>
      <c r="J162" s="64">
        <v>4436.5</v>
      </c>
      <c r="K162" s="65">
        <v>-4436.5</v>
      </c>
      <c r="L162" s="64">
        <v>0</v>
      </c>
      <c r="M162" s="64">
        <v>0</v>
      </c>
      <c r="N162" s="65">
        <v>0</v>
      </c>
      <c r="O162" s="64">
        <v>0</v>
      </c>
      <c r="P162" s="64">
        <v>5878.5</v>
      </c>
      <c r="Q162" s="65">
        <v>-5878.5</v>
      </c>
    </row>
    <row r="163" spans="2:17" x14ac:dyDescent="0.3">
      <c r="B163" s="62" t="s">
        <v>180</v>
      </c>
      <c r="C163" s="63">
        <v>0</v>
      </c>
      <c r="D163" s="64">
        <v>4997.5</v>
      </c>
      <c r="E163" s="65">
        <v>-4997.5</v>
      </c>
      <c r="F163" s="64">
        <v>0</v>
      </c>
      <c r="G163" s="64">
        <v>5206</v>
      </c>
      <c r="H163" s="65">
        <v>-5206</v>
      </c>
      <c r="I163" s="64">
        <v>0</v>
      </c>
      <c r="J163" s="64">
        <v>1513</v>
      </c>
      <c r="K163" s="65">
        <v>-1513</v>
      </c>
      <c r="L163" s="64">
        <v>0</v>
      </c>
      <c r="M163" s="64">
        <v>0</v>
      </c>
      <c r="N163" s="65">
        <v>0</v>
      </c>
      <c r="O163" s="64">
        <v>0</v>
      </c>
      <c r="P163" s="64">
        <v>3378</v>
      </c>
      <c r="Q163" s="65">
        <v>-3378</v>
      </c>
    </row>
    <row r="164" spans="2:17" x14ac:dyDescent="0.3">
      <c r="B164" s="62" t="s">
        <v>181</v>
      </c>
      <c r="C164" s="63">
        <v>0</v>
      </c>
      <c r="D164" s="64">
        <v>881</v>
      </c>
      <c r="E164" s="65">
        <v>-881</v>
      </c>
      <c r="F164" s="64">
        <v>0</v>
      </c>
      <c r="G164" s="64">
        <v>490</v>
      </c>
      <c r="H164" s="65">
        <v>-490</v>
      </c>
      <c r="I164" s="64">
        <v>0</v>
      </c>
      <c r="J164" s="64">
        <v>964.5</v>
      </c>
      <c r="K164" s="65">
        <v>-964.5</v>
      </c>
      <c r="L164" s="64">
        <v>0</v>
      </c>
      <c r="M164" s="64">
        <v>0</v>
      </c>
      <c r="N164" s="65">
        <v>0</v>
      </c>
      <c r="O164" s="64">
        <v>0</v>
      </c>
      <c r="P164" s="64">
        <v>727.5</v>
      </c>
      <c r="Q164" s="65">
        <v>-727.5</v>
      </c>
    </row>
    <row r="165" spans="2:17" x14ac:dyDescent="0.3">
      <c r="B165" s="62" t="s">
        <v>182</v>
      </c>
      <c r="C165" s="63">
        <v>0</v>
      </c>
      <c r="D165" s="64">
        <v>455.5</v>
      </c>
      <c r="E165" s="65">
        <v>-455.5</v>
      </c>
      <c r="F165" s="64">
        <v>0</v>
      </c>
      <c r="G165" s="64">
        <v>648</v>
      </c>
      <c r="H165" s="65">
        <v>-648</v>
      </c>
      <c r="I165" s="64">
        <v>0</v>
      </c>
      <c r="J165" s="64">
        <v>501.5</v>
      </c>
      <c r="K165" s="65">
        <v>-501.5</v>
      </c>
      <c r="L165" s="64">
        <v>0</v>
      </c>
      <c r="M165" s="64">
        <v>0</v>
      </c>
      <c r="N165" s="65">
        <v>0</v>
      </c>
      <c r="O165" s="64">
        <v>0</v>
      </c>
      <c r="P165" s="64">
        <v>0</v>
      </c>
      <c r="Q165" s="65">
        <v>0</v>
      </c>
    </row>
    <row r="166" spans="2:17" x14ac:dyDescent="0.3">
      <c r="B166" s="62" t="s">
        <v>183</v>
      </c>
      <c r="C166" s="63">
        <v>0</v>
      </c>
      <c r="D166" s="64">
        <v>384</v>
      </c>
      <c r="E166" s="65">
        <v>-384</v>
      </c>
      <c r="F166" s="64">
        <v>0</v>
      </c>
      <c r="G166" s="64">
        <v>702.5</v>
      </c>
      <c r="H166" s="65">
        <v>-702.5</v>
      </c>
      <c r="I166" s="64">
        <v>0</v>
      </c>
      <c r="J166" s="64">
        <v>1063</v>
      </c>
      <c r="K166" s="65">
        <v>-1063</v>
      </c>
      <c r="L166" s="64">
        <v>0</v>
      </c>
      <c r="M166" s="64">
        <v>0</v>
      </c>
      <c r="N166" s="65">
        <v>0</v>
      </c>
      <c r="O166" s="64">
        <v>0</v>
      </c>
      <c r="P166" s="64">
        <v>88</v>
      </c>
      <c r="Q166" s="65">
        <v>-88</v>
      </c>
    </row>
    <row r="167" spans="2:17" x14ac:dyDescent="0.3">
      <c r="B167" s="62" t="s">
        <v>184</v>
      </c>
      <c r="C167" s="63">
        <v>0</v>
      </c>
      <c r="D167" s="64">
        <v>3067</v>
      </c>
      <c r="E167" s="65">
        <v>-3067</v>
      </c>
      <c r="F167" s="64">
        <v>0</v>
      </c>
      <c r="G167" s="64">
        <v>1876.5</v>
      </c>
      <c r="H167" s="65">
        <v>-1876.5</v>
      </c>
      <c r="I167" s="64">
        <v>0</v>
      </c>
      <c r="J167" s="64">
        <v>300</v>
      </c>
      <c r="K167" s="65">
        <v>-300</v>
      </c>
      <c r="L167" s="64">
        <v>0</v>
      </c>
      <c r="M167" s="64">
        <v>0</v>
      </c>
      <c r="N167" s="65">
        <v>0</v>
      </c>
      <c r="O167" s="64">
        <v>0</v>
      </c>
      <c r="P167" s="64">
        <v>666.5</v>
      </c>
      <c r="Q167" s="65">
        <v>-666.5</v>
      </c>
    </row>
    <row r="168" spans="2:17" x14ac:dyDescent="0.3">
      <c r="B168" s="62" t="s">
        <v>185</v>
      </c>
      <c r="C168" s="63">
        <v>0</v>
      </c>
      <c r="D168" s="64">
        <v>547</v>
      </c>
      <c r="E168" s="65">
        <v>-547</v>
      </c>
      <c r="F168" s="64">
        <v>0</v>
      </c>
      <c r="G168" s="64">
        <v>546</v>
      </c>
      <c r="H168" s="65">
        <v>-546</v>
      </c>
      <c r="I168" s="64">
        <v>0</v>
      </c>
      <c r="J168" s="64">
        <v>897</v>
      </c>
      <c r="K168" s="65">
        <v>-897</v>
      </c>
      <c r="L168" s="64">
        <v>0</v>
      </c>
      <c r="M168" s="64">
        <v>0</v>
      </c>
      <c r="N168" s="65">
        <v>0</v>
      </c>
      <c r="O168" s="64">
        <v>0</v>
      </c>
      <c r="P168" s="64">
        <v>344</v>
      </c>
      <c r="Q168" s="65">
        <v>-344</v>
      </c>
    </row>
    <row r="169" spans="2:17" x14ac:dyDescent="0.3">
      <c r="B169" s="62" t="s">
        <v>186</v>
      </c>
      <c r="C169" s="63">
        <v>0</v>
      </c>
      <c r="D169" s="64">
        <v>1224</v>
      </c>
      <c r="E169" s="65">
        <v>-1224</v>
      </c>
      <c r="F169" s="64">
        <v>0</v>
      </c>
      <c r="G169" s="64">
        <v>1112</v>
      </c>
      <c r="H169" s="65">
        <v>-1112</v>
      </c>
      <c r="I169" s="64">
        <v>0</v>
      </c>
      <c r="J169" s="64">
        <v>2088</v>
      </c>
      <c r="K169" s="65">
        <v>-2088</v>
      </c>
      <c r="L169" s="64">
        <v>0</v>
      </c>
      <c r="M169" s="64">
        <v>0</v>
      </c>
      <c r="N169" s="65">
        <v>0</v>
      </c>
      <c r="O169" s="64">
        <v>0</v>
      </c>
      <c r="P169" s="64">
        <v>740</v>
      </c>
      <c r="Q169" s="65">
        <v>-740</v>
      </c>
    </row>
    <row r="170" spans="2:17" x14ac:dyDescent="0.3">
      <c r="B170" s="62" t="s">
        <v>187</v>
      </c>
      <c r="C170" s="63">
        <v>0</v>
      </c>
      <c r="D170" s="64">
        <v>636</v>
      </c>
      <c r="E170" s="65">
        <v>-636</v>
      </c>
      <c r="F170" s="64">
        <v>0</v>
      </c>
      <c r="G170" s="64">
        <v>885</v>
      </c>
      <c r="H170" s="65">
        <v>-885</v>
      </c>
      <c r="I170" s="64">
        <v>0</v>
      </c>
      <c r="J170" s="64">
        <v>796.5</v>
      </c>
      <c r="K170" s="65">
        <v>-796.5</v>
      </c>
      <c r="L170" s="64">
        <v>0</v>
      </c>
      <c r="M170" s="64">
        <v>0</v>
      </c>
      <c r="N170" s="65">
        <v>0</v>
      </c>
      <c r="O170" s="64">
        <v>0</v>
      </c>
      <c r="P170" s="64">
        <v>300.52</v>
      </c>
      <c r="Q170" s="65">
        <v>-300.52</v>
      </c>
    </row>
    <row r="171" spans="2:17" x14ac:dyDescent="0.3">
      <c r="B171" s="62" t="s">
        <v>188</v>
      </c>
      <c r="C171" s="63">
        <v>0</v>
      </c>
      <c r="D171" s="64">
        <v>292</v>
      </c>
      <c r="E171" s="65">
        <v>-292</v>
      </c>
      <c r="F171" s="64">
        <v>0</v>
      </c>
      <c r="G171" s="64">
        <v>1620.5</v>
      </c>
      <c r="H171" s="65">
        <v>-1620.5</v>
      </c>
      <c r="I171" s="64">
        <v>0</v>
      </c>
      <c r="J171" s="64">
        <v>0</v>
      </c>
      <c r="K171" s="65">
        <v>0</v>
      </c>
      <c r="L171" s="64">
        <v>0</v>
      </c>
      <c r="M171" s="64">
        <v>0</v>
      </c>
      <c r="N171" s="65">
        <v>0</v>
      </c>
      <c r="O171" s="64">
        <v>0</v>
      </c>
      <c r="P171" s="64">
        <v>640</v>
      </c>
      <c r="Q171" s="65">
        <v>-640</v>
      </c>
    </row>
    <row r="172" spans="2:17" x14ac:dyDescent="0.3">
      <c r="B172" s="62" t="s">
        <v>189</v>
      </c>
      <c r="C172" s="63">
        <v>0</v>
      </c>
      <c r="D172" s="64">
        <v>558</v>
      </c>
      <c r="E172" s="65">
        <v>-558</v>
      </c>
      <c r="F172" s="64">
        <v>0</v>
      </c>
      <c r="G172" s="64">
        <v>956</v>
      </c>
      <c r="H172" s="65">
        <v>-956</v>
      </c>
      <c r="I172" s="64">
        <v>0</v>
      </c>
      <c r="J172" s="64">
        <v>1015</v>
      </c>
      <c r="K172" s="65">
        <v>-1015</v>
      </c>
      <c r="L172" s="64">
        <v>0</v>
      </c>
      <c r="M172" s="64">
        <v>0</v>
      </c>
      <c r="N172" s="65">
        <v>0</v>
      </c>
      <c r="O172" s="64">
        <v>0</v>
      </c>
      <c r="P172" s="64">
        <v>530</v>
      </c>
      <c r="Q172" s="65">
        <v>-530</v>
      </c>
    </row>
    <row r="173" spans="2:17" x14ac:dyDescent="0.3">
      <c r="B173" s="62" t="s">
        <v>190</v>
      </c>
      <c r="C173" s="63">
        <v>0</v>
      </c>
      <c r="D173" s="64">
        <v>1040.5</v>
      </c>
      <c r="E173" s="65">
        <v>-1040.5</v>
      </c>
      <c r="F173" s="64">
        <v>0</v>
      </c>
      <c r="G173" s="64">
        <v>895</v>
      </c>
      <c r="H173" s="65">
        <v>-895</v>
      </c>
      <c r="I173" s="64">
        <v>0</v>
      </c>
      <c r="J173" s="64">
        <v>873</v>
      </c>
      <c r="K173" s="65">
        <v>-873</v>
      </c>
      <c r="L173" s="64">
        <v>0</v>
      </c>
      <c r="M173" s="64">
        <v>0</v>
      </c>
      <c r="N173" s="65">
        <v>0</v>
      </c>
      <c r="O173" s="64">
        <v>0</v>
      </c>
      <c r="P173" s="64">
        <v>1805</v>
      </c>
      <c r="Q173" s="65">
        <v>-1805</v>
      </c>
    </row>
    <row r="174" spans="2:17" x14ac:dyDescent="0.3">
      <c r="B174" s="62" t="s">
        <v>191</v>
      </c>
      <c r="C174" s="63">
        <v>0</v>
      </c>
      <c r="D174" s="64">
        <v>9820</v>
      </c>
      <c r="E174" s="65">
        <v>-9820</v>
      </c>
      <c r="F174" s="64">
        <v>0</v>
      </c>
      <c r="G174" s="64">
        <v>7592.5</v>
      </c>
      <c r="H174" s="65">
        <v>-7592.5</v>
      </c>
      <c r="I174" s="64">
        <v>0</v>
      </c>
      <c r="J174" s="64">
        <v>4326</v>
      </c>
      <c r="K174" s="65">
        <v>-4326</v>
      </c>
      <c r="L174" s="64">
        <v>0</v>
      </c>
      <c r="M174" s="64">
        <v>0</v>
      </c>
      <c r="N174" s="65">
        <v>0</v>
      </c>
      <c r="O174" s="64">
        <v>0</v>
      </c>
      <c r="P174" s="64">
        <v>5475</v>
      </c>
      <c r="Q174" s="65">
        <v>-5475</v>
      </c>
    </row>
    <row r="175" spans="2:17" x14ac:dyDescent="0.3">
      <c r="B175" s="62" t="s">
        <v>192</v>
      </c>
      <c r="C175" s="63">
        <v>0</v>
      </c>
      <c r="D175" s="64">
        <v>1478</v>
      </c>
      <c r="E175" s="65">
        <v>-1478</v>
      </c>
      <c r="F175" s="64">
        <v>0</v>
      </c>
      <c r="G175" s="64">
        <v>677</v>
      </c>
      <c r="H175" s="65">
        <v>-677</v>
      </c>
      <c r="I175" s="64">
        <v>0</v>
      </c>
      <c r="J175" s="64">
        <v>680</v>
      </c>
      <c r="K175" s="65">
        <v>-680</v>
      </c>
      <c r="L175" s="64">
        <v>0</v>
      </c>
      <c r="M175" s="64">
        <v>0</v>
      </c>
      <c r="N175" s="65">
        <v>0</v>
      </c>
      <c r="O175" s="64">
        <v>0</v>
      </c>
      <c r="P175" s="64">
        <v>1113</v>
      </c>
      <c r="Q175" s="65">
        <v>-1113</v>
      </c>
    </row>
    <row r="176" spans="2:17" x14ac:dyDescent="0.3">
      <c r="B176" s="62" t="s">
        <v>193</v>
      </c>
      <c r="C176" s="63">
        <v>0</v>
      </c>
      <c r="D176" s="64">
        <v>191</v>
      </c>
      <c r="E176" s="65">
        <v>-191</v>
      </c>
      <c r="F176" s="64">
        <v>0</v>
      </c>
      <c r="G176" s="64">
        <v>0</v>
      </c>
      <c r="H176" s="65">
        <v>0</v>
      </c>
      <c r="I176" s="64">
        <v>0</v>
      </c>
      <c r="J176" s="64">
        <v>0</v>
      </c>
      <c r="K176" s="65">
        <v>0</v>
      </c>
      <c r="L176" s="64">
        <v>0</v>
      </c>
      <c r="M176" s="64">
        <v>0</v>
      </c>
      <c r="N176" s="65">
        <v>0</v>
      </c>
      <c r="O176" s="64">
        <v>0</v>
      </c>
      <c r="P176" s="64">
        <v>0</v>
      </c>
      <c r="Q176" s="65">
        <v>0</v>
      </c>
    </row>
    <row r="177" spans="2:17" x14ac:dyDescent="0.3">
      <c r="B177" s="62" t="s">
        <v>194</v>
      </c>
      <c r="C177" s="63">
        <v>0</v>
      </c>
      <c r="D177" s="64">
        <v>504</v>
      </c>
      <c r="E177" s="65">
        <v>-504</v>
      </c>
      <c r="F177" s="64">
        <v>0</v>
      </c>
      <c r="G177" s="64">
        <v>7605.5</v>
      </c>
      <c r="H177" s="65">
        <v>-7605.5</v>
      </c>
      <c r="I177" s="64">
        <v>0</v>
      </c>
      <c r="J177" s="64">
        <v>7328.5</v>
      </c>
      <c r="K177" s="65">
        <v>-7328.5</v>
      </c>
      <c r="L177" s="64">
        <v>0</v>
      </c>
      <c r="M177" s="64">
        <v>0</v>
      </c>
      <c r="N177" s="65">
        <v>0</v>
      </c>
      <c r="O177" s="64">
        <v>0</v>
      </c>
      <c r="P177" s="64">
        <v>3215.5</v>
      </c>
      <c r="Q177" s="65">
        <v>-3215.5</v>
      </c>
    </row>
    <row r="178" spans="2:17" x14ac:dyDescent="0.3">
      <c r="B178" s="62" t="s">
        <v>195</v>
      </c>
      <c r="C178" s="63">
        <v>0</v>
      </c>
      <c r="D178" s="64">
        <v>3604</v>
      </c>
      <c r="E178" s="65">
        <v>-3604</v>
      </c>
      <c r="F178" s="64">
        <v>0</v>
      </c>
      <c r="G178" s="64">
        <v>2049.5</v>
      </c>
      <c r="H178" s="65">
        <v>-2049.5</v>
      </c>
      <c r="I178" s="64">
        <v>0</v>
      </c>
      <c r="J178" s="64">
        <v>0</v>
      </c>
      <c r="K178" s="65">
        <v>0</v>
      </c>
      <c r="L178" s="64">
        <v>0</v>
      </c>
      <c r="M178" s="64">
        <v>0</v>
      </c>
      <c r="N178" s="65">
        <v>0</v>
      </c>
      <c r="O178" s="64">
        <v>0</v>
      </c>
      <c r="P178" s="64">
        <v>872</v>
      </c>
      <c r="Q178" s="65">
        <v>-872</v>
      </c>
    </row>
    <row r="179" spans="2:17" x14ac:dyDescent="0.3">
      <c r="B179" s="62" t="s">
        <v>196</v>
      </c>
      <c r="C179" s="63">
        <v>0</v>
      </c>
      <c r="D179" s="64">
        <v>0</v>
      </c>
      <c r="E179" s="65">
        <v>0</v>
      </c>
      <c r="F179" s="64">
        <v>0</v>
      </c>
      <c r="G179" s="64">
        <v>173</v>
      </c>
      <c r="H179" s="65">
        <v>-173</v>
      </c>
      <c r="I179" s="64">
        <v>0</v>
      </c>
      <c r="J179" s="64">
        <v>9715</v>
      </c>
      <c r="K179" s="65">
        <v>-9715</v>
      </c>
      <c r="L179" s="64">
        <v>0</v>
      </c>
      <c r="M179" s="64">
        <v>0</v>
      </c>
      <c r="N179" s="65">
        <v>0</v>
      </c>
      <c r="O179" s="64">
        <v>0</v>
      </c>
      <c r="P179" s="64">
        <v>1370</v>
      </c>
      <c r="Q179" s="65">
        <v>-1370</v>
      </c>
    </row>
    <row r="180" spans="2:17" x14ac:dyDescent="0.3">
      <c r="B180" s="62" t="s">
        <v>197</v>
      </c>
      <c r="C180" s="63">
        <v>0</v>
      </c>
      <c r="D180" s="64">
        <v>644</v>
      </c>
      <c r="E180" s="65">
        <v>-644</v>
      </c>
      <c r="F180" s="64">
        <v>0</v>
      </c>
      <c r="G180" s="64">
        <v>313</v>
      </c>
      <c r="H180" s="65">
        <v>-313</v>
      </c>
      <c r="I180" s="64">
        <v>0</v>
      </c>
      <c r="J180" s="64">
        <v>0</v>
      </c>
      <c r="K180" s="65">
        <v>0</v>
      </c>
      <c r="L180" s="64">
        <v>0</v>
      </c>
      <c r="M180" s="64">
        <v>0</v>
      </c>
      <c r="N180" s="65">
        <v>0</v>
      </c>
      <c r="O180" s="64">
        <v>0</v>
      </c>
      <c r="P180" s="64">
        <v>538</v>
      </c>
      <c r="Q180" s="65">
        <v>-538</v>
      </c>
    </row>
    <row r="181" spans="2:17" x14ac:dyDescent="0.3">
      <c r="B181" s="62" t="s">
        <v>198</v>
      </c>
      <c r="C181" s="63">
        <v>0</v>
      </c>
      <c r="D181" s="64">
        <v>0</v>
      </c>
      <c r="E181" s="65">
        <v>0</v>
      </c>
      <c r="F181" s="64">
        <v>0</v>
      </c>
      <c r="G181" s="64">
        <v>125</v>
      </c>
      <c r="H181" s="65">
        <v>-125</v>
      </c>
      <c r="I181" s="64">
        <v>0</v>
      </c>
      <c r="J181" s="64">
        <v>0</v>
      </c>
      <c r="K181" s="65">
        <v>0</v>
      </c>
      <c r="L181" s="64">
        <v>0</v>
      </c>
      <c r="M181" s="64">
        <v>0</v>
      </c>
      <c r="N181" s="65">
        <v>0</v>
      </c>
      <c r="O181" s="64">
        <v>0</v>
      </c>
      <c r="P181" s="64">
        <v>1023</v>
      </c>
      <c r="Q181" s="65">
        <v>-1023</v>
      </c>
    </row>
    <row r="182" spans="2:17" x14ac:dyDescent="0.3">
      <c r="B182" s="62" t="s">
        <v>199</v>
      </c>
      <c r="C182" s="63">
        <v>0</v>
      </c>
      <c r="D182" s="64">
        <v>71</v>
      </c>
      <c r="E182" s="65">
        <v>-71</v>
      </c>
      <c r="F182" s="64">
        <v>0</v>
      </c>
      <c r="G182" s="64">
        <v>229</v>
      </c>
      <c r="H182" s="65">
        <v>-229</v>
      </c>
      <c r="I182" s="64">
        <v>0</v>
      </c>
      <c r="J182" s="64">
        <v>0</v>
      </c>
      <c r="K182" s="65">
        <v>0</v>
      </c>
      <c r="L182" s="64">
        <v>0</v>
      </c>
      <c r="M182" s="64">
        <v>0</v>
      </c>
      <c r="N182" s="65">
        <v>0</v>
      </c>
      <c r="O182" s="64">
        <v>0</v>
      </c>
      <c r="P182" s="64">
        <v>0</v>
      </c>
      <c r="Q182" s="65">
        <v>0</v>
      </c>
    </row>
    <row r="183" spans="2:17" x14ac:dyDescent="0.3">
      <c r="B183" s="62" t="s">
        <v>200</v>
      </c>
      <c r="C183" s="63">
        <v>0</v>
      </c>
      <c r="D183" s="64">
        <v>242</v>
      </c>
      <c r="E183" s="65">
        <v>-242</v>
      </c>
      <c r="F183" s="64">
        <v>0</v>
      </c>
      <c r="G183" s="64">
        <v>100</v>
      </c>
      <c r="H183" s="65">
        <v>-100</v>
      </c>
      <c r="I183" s="64">
        <v>0</v>
      </c>
      <c r="J183" s="64">
        <v>0</v>
      </c>
      <c r="K183" s="65">
        <v>0</v>
      </c>
      <c r="L183" s="64">
        <v>0</v>
      </c>
      <c r="M183" s="64">
        <v>0</v>
      </c>
      <c r="N183" s="65">
        <v>0</v>
      </c>
      <c r="O183" s="64">
        <v>0</v>
      </c>
      <c r="P183" s="64">
        <v>20</v>
      </c>
      <c r="Q183" s="65">
        <v>-20</v>
      </c>
    </row>
    <row r="184" spans="2:17" x14ac:dyDescent="0.3">
      <c r="B184" s="62" t="s">
        <v>201</v>
      </c>
      <c r="C184" s="63">
        <v>0</v>
      </c>
      <c r="D184" s="64">
        <v>78</v>
      </c>
      <c r="E184" s="65">
        <v>-78</v>
      </c>
      <c r="F184" s="64">
        <v>0</v>
      </c>
      <c r="G184" s="64">
        <v>10</v>
      </c>
      <c r="H184" s="65">
        <v>-10</v>
      </c>
      <c r="I184" s="64">
        <v>0</v>
      </c>
      <c r="J184" s="64">
        <v>0</v>
      </c>
      <c r="K184" s="65">
        <v>0</v>
      </c>
      <c r="L184" s="64">
        <v>0</v>
      </c>
      <c r="M184" s="64">
        <v>0</v>
      </c>
      <c r="N184" s="65">
        <v>0</v>
      </c>
      <c r="O184" s="64">
        <v>0</v>
      </c>
      <c r="P184" s="64">
        <v>30</v>
      </c>
      <c r="Q184" s="65">
        <v>-30</v>
      </c>
    </row>
    <row r="185" spans="2:17" x14ac:dyDescent="0.3">
      <c r="B185" s="62" t="s">
        <v>202</v>
      </c>
      <c r="C185" s="63">
        <v>0</v>
      </c>
      <c r="D185" s="64">
        <v>544</v>
      </c>
      <c r="E185" s="65">
        <v>-544</v>
      </c>
      <c r="F185" s="64">
        <v>0</v>
      </c>
      <c r="G185" s="64">
        <v>1792</v>
      </c>
      <c r="H185" s="65">
        <v>-1792</v>
      </c>
      <c r="I185" s="64">
        <v>0</v>
      </c>
      <c r="J185" s="64">
        <v>0</v>
      </c>
      <c r="K185" s="65">
        <v>0</v>
      </c>
      <c r="L185" s="64">
        <v>0</v>
      </c>
      <c r="M185" s="64">
        <v>0</v>
      </c>
      <c r="N185" s="65">
        <v>0</v>
      </c>
      <c r="O185" s="64">
        <v>0</v>
      </c>
      <c r="P185" s="64">
        <v>0</v>
      </c>
      <c r="Q185" s="65">
        <v>0</v>
      </c>
    </row>
    <row r="186" spans="2:17" x14ac:dyDescent="0.3">
      <c r="B186" s="62" t="s">
        <v>203</v>
      </c>
      <c r="C186" s="63">
        <v>0</v>
      </c>
      <c r="D186" s="64">
        <v>2603.5</v>
      </c>
      <c r="E186" s="65">
        <v>-2603.5</v>
      </c>
      <c r="F186" s="64">
        <v>0</v>
      </c>
      <c r="G186" s="64">
        <v>2404</v>
      </c>
      <c r="H186" s="65">
        <v>-2404</v>
      </c>
      <c r="I186" s="64">
        <v>0</v>
      </c>
      <c r="J186" s="64">
        <v>0</v>
      </c>
      <c r="K186" s="65">
        <v>0</v>
      </c>
      <c r="L186" s="64">
        <v>0</v>
      </c>
      <c r="M186" s="64">
        <v>0</v>
      </c>
      <c r="N186" s="65">
        <v>0</v>
      </c>
      <c r="O186" s="64">
        <v>0</v>
      </c>
      <c r="P186" s="64">
        <v>558</v>
      </c>
      <c r="Q186" s="65">
        <v>-558</v>
      </c>
    </row>
    <row r="187" spans="2:17" x14ac:dyDescent="0.3">
      <c r="B187" s="62" t="s">
        <v>204</v>
      </c>
      <c r="C187" s="63">
        <v>0</v>
      </c>
      <c r="D187" s="64">
        <v>0</v>
      </c>
      <c r="E187" s="65">
        <v>0</v>
      </c>
      <c r="F187" s="64">
        <v>0</v>
      </c>
      <c r="G187" s="64">
        <v>0</v>
      </c>
      <c r="H187" s="65">
        <v>0</v>
      </c>
      <c r="I187" s="64">
        <v>0</v>
      </c>
      <c r="J187" s="64">
        <v>0</v>
      </c>
      <c r="K187" s="65">
        <v>0</v>
      </c>
      <c r="L187" s="64">
        <v>0</v>
      </c>
      <c r="M187" s="64">
        <v>0</v>
      </c>
      <c r="N187" s="65">
        <v>0</v>
      </c>
      <c r="O187" s="64">
        <v>0</v>
      </c>
      <c r="P187" s="64">
        <v>60</v>
      </c>
      <c r="Q187" s="65">
        <v>-60</v>
      </c>
    </row>
    <row r="188" spans="2:17" x14ac:dyDescent="0.3">
      <c r="B188" s="62" t="s">
        <v>205</v>
      </c>
      <c r="C188" s="63">
        <v>0</v>
      </c>
      <c r="D188" s="64">
        <v>2269</v>
      </c>
      <c r="E188" s="65">
        <v>-2269</v>
      </c>
      <c r="F188" s="64">
        <v>0</v>
      </c>
      <c r="G188" s="64">
        <v>20</v>
      </c>
      <c r="H188" s="65">
        <v>-20</v>
      </c>
      <c r="I188" s="64">
        <v>0</v>
      </c>
      <c r="J188" s="64">
        <v>0</v>
      </c>
      <c r="K188" s="65">
        <v>0</v>
      </c>
      <c r="L188" s="64">
        <v>0</v>
      </c>
      <c r="M188" s="64">
        <v>0</v>
      </c>
      <c r="N188" s="65">
        <v>0</v>
      </c>
      <c r="O188" s="64">
        <v>0</v>
      </c>
      <c r="P188" s="64">
        <v>0</v>
      </c>
      <c r="Q188" s="65">
        <v>0</v>
      </c>
    </row>
    <row r="189" spans="2:17" x14ac:dyDescent="0.3">
      <c r="B189" s="62" t="s">
        <v>206</v>
      </c>
      <c r="C189" s="63">
        <v>0</v>
      </c>
      <c r="D189" s="64">
        <v>498</v>
      </c>
      <c r="E189" s="65">
        <v>-498</v>
      </c>
      <c r="F189" s="64">
        <v>0</v>
      </c>
      <c r="G189" s="64">
        <v>0</v>
      </c>
      <c r="H189" s="65">
        <v>0</v>
      </c>
      <c r="I189" s="64">
        <v>0</v>
      </c>
      <c r="J189" s="64">
        <v>0</v>
      </c>
      <c r="K189" s="65">
        <v>0</v>
      </c>
      <c r="L189" s="64">
        <v>0</v>
      </c>
      <c r="M189" s="64">
        <v>0</v>
      </c>
      <c r="N189" s="65">
        <v>0</v>
      </c>
      <c r="O189" s="64">
        <v>0</v>
      </c>
      <c r="P189" s="64">
        <v>0</v>
      </c>
      <c r="Q189" s="65">
        <v>0</v>
      </c>
    </row>
    <row r="190" spans="2:17" x14ac:dyDescent="0.3">
      <c r="B190" s="62" t="s">
        <v>207</v>
      </c>
      <c r="C190" s="63">
        <v>0</v>
      </c>
      <c r="D190" s="64">
        <v>505</v>
      </c>
      <c r="E190" s="65">
        <v>-505</v>
      </c>
      <c r="F190" s="64">
        <v>0</v>
      </c>
      <c r="G190" s="64">
        <v>100</v>
      </c>
      <c r="H190" s="65">
        <v>-100</v>
      </c>
      <c r="I190" s="64">
        <v>0</v>
      </c>
      <c r="J190" s="64">
        <v>994</v>
      </c>
      <c r="K190" s="65">
        <v>-994</v>
      </c>
      <c r="L190" s="64">
        <v>0</v>
      </c>
      <c r="M190" s="64">
        <v>0</v>
      </c>
      <c r="N190" s="65">
        <v>0</v>
      </c>
      <c r="O190" s="64">
        <v>0</v>
      </c>
      <c r="P190" s="64">
        <v>160</v>
      </c>
      <c r="Q190" s="65">
        <v>-160</v>
      </c>
    </row>
    <row r="191" spans="2:17" x14ac:dyDescent="0.3">
      <c r="B191" s="62" t="s">
        <v>208</v>
      </c>
      <c r="C191" s="63">
        <v>0</v>
      </c>
      <c r="D191" s="64">
        <v>150</v>
      </c>
      <c r="E191" s="65">
        <v>-150</v>
      </c>
      <c r="F191" s="64">
        <v>0</v>
      </c>
      <c r="G191" s="64">
        <v>0</v>
      </c>
      <c r="H191" s="65">
        <v>0</v>
      </c>
      <c r="I191" s="64">
        <v>0</v>
      </c>
      <c r="J191" s="64">
        <v>0</v>
      </c>
      <c r="K191" s="65">
        <v>0</v>
      </c>
      <c r="L191" s="64">
        <v>0</v>
      </c>
      <c r="M191" s="64">
        <v>0</v>
      </c>
      <c r="N191" s="65">
        <v>0</v>
      </c>
      <c r="O191" s="64">
        <v>0</v>
      </c>
      <c r="P191" s="64">
        <v>640</v>
      </c>
      <c r="Q191" s="65">
        <v>-640</v>
      </c>
    </row>
    <row r="192" spans="2:17" x14ac:dyDescent="0.3">
      <c r="B192" s="62" t="s">
        <v>209</v>
      </c>
      <c r="C192" s="63">
        <v>0</v>
      </c>
      <c r="D192" s="64">
        <v>1486.5</v>
      </c>
      <c r="E192" s="65">
        <v>-1486.5</v>
      </c>
      <c r="F192" s="64">
        <v>0</v>
      </c>
      <c r="G192" s="64">
        <v>997</v>
      </c>
      <c r="H192" s="65">
        <v>-997</v>
      </c>
      <c r="I192" s="64">
        <v>0</v>
      </c>
      <c r="J192" s="64">
        <v>0</v>
      </c>
      <c r="K192" s="65">
        <v>0</v>
      </c>
      <c r="L192" s="64">
        <v>0</v>
      </c>
      <c r="M192" s="64">
        <v>0</v>
      </c>
      <c r="N192" s="65">
        <v>0</v>
      </c>
      <c r="O192" s="64">
        <v>0</v>
      </c>
      <c r="P192" s="64">
        <v>0</v>
      </c>
      <c r="Q192" s="65">
        <v>0</v>
      </c>
    </row>
    <row r="193" spans="2:17" x14ac:dyDescent="0.3">
      <c r="B193" s="62" t="s">
        <v>210</v>
      </c>
      <c r="C193" s="63">
        <v>0</v>
      </c>
      <c r="D193" s="64">
        <v>1502</v>
      </c>
      <c r="E193" s="65">
        <v>-1502</v>
      </c>
      <c r="F193" s="64">
        <v>0</v>
      </c>
      <c r="G193" s="64">
        <v>3090</v>
      </c>
      <c r="H193" s="65">
        <v>-3090</v>
      </c>
      <c r="I193" s="64">
        <v>0</v>
      </c>
      <c r="J193" s="64">
        <v>0</v>
      </c>
      <c r="K193" s="65">
        <v>0</v>
      </c>
      <c r="L193" s="64">
        <v>0</v>
      </c>
      <c r="M193" s="64">
        <v>0</v>
      </c>
      <c r="N193" s="65">
        <v>0</v>
      </c>
      <c r="O193" s="64">
        <v>0</v>
      </c>
      <c r="P193" s="64">
        <v>263</v>
      </c>
      <c r="Q193" s="65">
        <v>-263</v>
      </c>
    </row>
    <row r="194" spans="2:17" ht="15" thickBot="1" x14ac:dyDescent="0.35">
      <c r="B194" s="62" t="s">
        <v>211</v>
      </c>
      <c r="C194" s="67">
        <v>0</v>
      </c>
      <c r="D194" s="68">
        <v>0</v>
      </c>
      <c r="E194" s="69">
        <v>0</v>
      </c>
      <c r="F194" s="68">
        <v>0</v>
      </c>
      <c r="G194" s="68">
        <v>0</v>
      </c>
      <c r="H194" s="69">
        <v>0</v>
      </c>
      <c r="I194" s="68">
        <v>0</v>
      </c>
      <c r="J194" s="68">
        <v>595.5</v>
      </c>
      <c r="K194" s="69">
        <v>-595.5</v>
      </c>
      <c r="L194" s="68">
        <v>0</v>
      </c>
      <c r="M194" s="68">
        <v>0</v>
      </c>
      <c r="N194" s="69">
        <v>0</v>
      </c>
      <c r="O194" s="68">
        <v>0</v>
      </c>
      <c r="P194" s="68">
        <v>0</v>
      </c>
      <c r="Q194" s="69">
        <v>0</v>
      </c>
    </row>
    <row r="195" spans="2:17" ht="15" thickBot="1" x14ac:dyDescent="0.35">
      <c r="B195" s="70"/>
      <c r="C195" s="71"/>
      <c r="D195" s="72"/>
      <c r="E195" s="73"/>
      <c r="F195" s="74"/>
      <c r="G195" s="72"/>
      <c r="H195" s="73"/>
      <c r="I195" s="74"/>
      <c r="J195" s="72"/>
      <c r="K195" s="73"/>
      <c r="L195" s="74"/>
      <c r="M195" s="72"/>
      <c r="N195" s="73"/>
      <c r="O195" s="74"/>
      <c r="P195" s="72"/>
      <c r="Q195" s="73"/>
    </row>
  </sheetData>
  <conditionalFormatting sqref="E68:E195 H67:H195 K67:K195 N67:N195 Q67:Q195">
    <cfRule type="cellIs" dxfId="53" priority="41" operator="greaterThanOrEqual">
      <formula>0</formula>
    </cfRule>
    <cfRule type="cellIs" dxfId="52" priority="42" operator="lessThan">
      <formula>0</formula>
    </cfRule>
  </conditionalFormatting>
  <conditionalFormatting sqref="H45 K45 N45 Q45">
    <cfRule type="cellIs" dxfId="51" priority="39" operator="greaterThanOrEqual">
      <formula>0</formula>
    </cfRule>
    <cfRule type="cellIs" dxfId="50" priority="40" operator="lessThan">
      <formula>0</formula>
    </cfRule>
  </conditionalFormatting>
  <conditionalFormatting sqref="E48">
    <cfRule type="cellIs" dxfId="49" priority="37" operator="greaterThanOrEqual">
      <formula>0</formula>
    </cfRule>
    <cfRule type="cellIs" dxfId="48" priority="38" operator="lessThan">
      <formula>0</formula>
    </cfRule>
  </conditionalFormatting>
  <conditionalFormatting sqref="H48 K48 N48 Q48">
    <cfRule type="cellIs" dxfId="47" priority="35" operator="greaterThanOrEqual">
      <formula>0</formula>
    </cfRule>
    <cfRule type="cellIs" dxfId="46" priority="36" operator="lessThan">
      <formula>0</formula>
    </cfRule>
  </conditionalFormatting>
  <conditionalFormatting sqref="H28 K28 N28 Q28">
    <cfRule type="cellIs" dxfId="45" priority="33" operator="greaterThanOrEqual">
      <formula>0</formula>
    </cfRule>
    <cfRule type="cellIs" dxfId="44" priority="34" operator="lessThan">
      <formula>0</formula>
    </cfRule>
  </conditionalFormatting>
  <conditionalFormatting sqref="E9">
    <cfRule type="cellIs" dxfId="43" priority="31" operator="greaterThanOrEqual">
      <formula>0</formula>
    </cfRule>
    <cfRule type="cellIs" dxfId="42" priority="32" operator="lessThan">
      <formula>0</formula>
    </cfRule>
  </conditionalFormatting>
  <conditionalFormatting sqref="H9 K9 N9 Q9">
    <cfRule type="cellIs" dxfId="41" priority="29" operator="greaterThanOrEqual">
      <formula>0</formula>
    </cfRule>
    <cfRule type="cellIs" dxfId="40" priority="30" operator="lessThan">
      <formula>0</formula>
    </cfRule>
  </conditionalFormatting>
  <conditionalFormatting sqref="E67">
    <cfRule type="cellIs" dxfId="39" priority="27" operator="greaterThanOrEqual">
      <formula>0</formula>
    </cfRule>
    <cfRule type="cellIs" dxfId="38" priority="28" operator="lessThan">
      <formula>0</formula>
    </cfRule>
  </conditionalFormatting>
  <conditionalFormatting sqref="E49:E66">
    <cfRule type="cellIs" dxfId="37" priority="43" operator="greaterThan">
      <formula>0</formula>
    </cfRule>
  </conditionalFormatting>
  <conditionalFormatting sqref="E49:E66">
    <cfRule type="cellIs" dxfId="36" priority="44" operator="lessThan">
      <formula>0</formula>
    </cfRule>
  </conditionalFormatting>
  <conditionalFormatting sqref="H49:H66">
    <cfRule type="cellIs" dxfId="35" priority="45" operator="greaterThan">
      <formula>0</formula>
    </cfRule>
  </conditionalFormatting>
  <conditionalFormatting sqref="H49:H66">
    <cfRule type="cellIs" dxfId="34" priority="46" operator="lessThan">
      <formula>0</formula>
    </cfRule>
  </conditionalFormatting>
  <conditionalFormatting sqref="K49:K66">
    <cfRule type="cellIs" dxfId="33" priority="47" operator="greaterThan">
      <formula>0</formula>
    </cfRule>
  </conditionalFormatting>
  <conditionalFormatting sqref="K49:K66">
    <cfRule type="cellIs" dxfId="32" priority="48" operator="lessThan">
      <formula>0</formula>
    </cfRule>
  </conditionalFormatting>
  <conditionalFormatting sqref="N49:N66">
    <cfRule type="cellIs" dxfId="31" priority="49" operator="greaterThan">
      <formula>0</formula>
    </cfRule>
  </conditionalFormatting>
  <conditionalFormatting sqref="N49:N66">
    <cfRule type="cellIs" dxfId="30" priority="50" operator="lessThan">
      <formula>0</formula>
    </cfRule>
  </conditionalFormatting>
  <conditionalFormatting sqref="Q49:Q66">
    <cfRule type="cellIs" dxfId="29" priority="51" operator="greaterThan">
      <formula>0</formula>
    </cfRule>
  </conditionalFormatting>
  <conditionalFormatting sqref="Q49:Q66">
    <cfRule type="cellIs" dxfId="28" priority="52" operator="lessThan">
      <formula>0</formula>
    </cfRule>
  </conditionalFormatting>
  <conditionalFormatting sqref="E10:E47">
    <cfRule type="cellIs" dxfId="27" priority="53" operator="lessThan">
      <formula>0</formula>
    </cfRule>
  </conditionalFormatting>
  <conditionalFormatting sqref="E10:E47">
    <cfRule type="cellIs" dxfId="26" priority="54" operator="greaterThan">
      <formula>0</formula>
    </cfRule>
  </conditionalFormatting>
  <conditionalFormatting sqref="H29:H44">
    <cfRule type="cellIs" dxfId="25" priority="25" operator="lessThan">
      <formula>0</formula>
    </cfRule>
  </conditionalFormatting>
  <conditionalFormatting sqref="H29:H44">
    <cfRule type="cellIs" dxfId="24" priority="26" operator="greaterThan">
      <formula>0</formula>
    </cfRule>
  </conditionalFormatting>
  <conditionalFormatting sqref="H10:H27">
    <cfRule type="cellIs" dxfId="23" priority="23" operator="lessThan">
      <formula>0</formula>
    </cfRule>
  </conditionalFormatting>
  <conditionalFormatting sqref="H10:H27">
    <cfRule type="cellIs" dxfId="22" priority="24" operator="greaterThan">
      <formula>0</formula>
    </cfRule>
  </conditionalFormatting>
  <conditionalFormatting sqref="E5:E8">
    <cfRule type="cellIs" dxfId="21" priority="21" operator="lessThan">
      <formula>0</formula>
    </cfRule>
  </conditionalFormatting>
  <conditionalFormatting sqref="E5:E8">
    <cfRule type="cellIs" dxfId="20" priority="22" operator="greaterThan">
      <formula>0</formula>
    </cfRule>
  </conditionalFormatting>
  <conditionalFormatting sqref="K29:K44">
    <cfRule type="cellIs" dxfId="19" priority="19" operator="lessThan">
      <formula>0</formula>
    </cfRule>
  </conditionalFormatting>
  <conditionalFormatting sqref="K29:K44">
    <cfRule type="cellIs" dxfId="18" priority="20" operator="greaterThan">
      <formula>0</formula>
    </cfRule>
  </conditionalFormatting>
  <conditionalFormatting sqref="K10:K27">
    <cfRule type="cellIs" dxfId="17" priority="17" operator="lessThan">
      <formula>0</formula>
    </cfRule>
  </conditionalFormatting>
  <conditionalFormatting sqref="K10:K27">
    <cfRule type="cellIs" dxfId="16" priority="18" operator="greaterThan">
      <formula>0</formula>
    </cfRule>
  </conditionalFormatting>
  <conditionalFormatting sqref="H5:H8">
    <cfRule type="cellIs" dxfId="15" priority="15" operator="lessThan">
      <formula>0</formula>
    </cfRule>
  </conditionalFormatting>
  <conditionalFormatting sqref="H5:H8">
    <cfRule type="cellIs" dxfId="14" priority="16" operator="greaterThan">
      <formula>0</formula>
    </cfRule>
  </conditionalFormatting>
  <conditionalFormatting sqref="K5:K8">
    <cfRule type="cellIs" dxfId="13" priority="13" operator="lessThan">
      <formula>0</formula>
    </cfRule>
  </conditionalFormatting>
  <conditionalFormatting sqref="K5:K8">
    <cfRule type="cellIs" dxfId="12" priority="14" operator="greaterThan">
      <formula>0</formula>
    </cfRule>
  </conditionalFormatting>
  <conditionalFormatting sqref="N5:N8">
    <cfRule type="cellIs" dxfId="11" priority="11" operator="lessThan">
      <formula>0</formula>
    </cfRule>
  </conditionalFormatting>
  <conditionalFormatting sqref="N5:N8">
    <cfRule type="cellIs" dxfId="10" priority="12" operator="greaterThan">
      <formula>0</formula>
    </cfRule>
  </conditionalFormatting>
  <conditionalFormatting sqref="Q5:Q8">
    <cfRule type="cellIs" dxfId="9" priority="9" operator="lessThan">
      <formula>0</formula>
    </cfRule>
  </conditionalFormatting>
  <conditionalFormatting sqref="Q5:Q8">
    <cfRule type="cellIs" dxfId="8" priority="10" operator="greaterThan">
      <formula>0</formula>
    </cfRule>
  </conditionalFormatting>
  <conditionalFormatting sqref="N29:N44">
    <cfRule type="cellIs" dxfId="7" priority="7" operator="lessThan">
      <formula>0</formula>
    </cfRule>
  </conditionalFormatting>
  <conditionalFormatting sqref="N29:N44">
    <cfRule type="cellIs" dxfId="6" priority="8" operator="greaterThan">
      <formula>0</formula>
    </cfRule>
  </conditionalFormatting>
  <conditionalFormatting sqref="N10:N27">
    <cfRule type="cellIs" dxfId="5" priority="5" operator="lessThan">
      <formula>0</formula>
    </cfRule>
  </conditionalFormatting>
  <conditionalFormatting sqref="N10:N27">
    <cfRule type="cellIs" dxfId="4" priority="6" operator="greaterThan">
      <formula>0</formula>
    </cfRule>
  </conditionalFormatting>
  <conditionalFormatting sqref="Q29:Q44">
    <cfRule type="cellIs" dxfId="3" priority="3" operator="lessThan">
      <formula>0</formula>
    </cfRule>
  </conditionalFormatting>
  <conditionalFormatting sqref="Q29:Q44">
    <cfRule type="cellIs" dxfId="2" priority="4" operator="greaterThan">
      <formula>0</formula>
    </cfRule>
  </conditionalFormatting>
  <conditionalFormatting sqref="Q10:Q27">
    <cfRule type="cellIs" dxfId="1" priority="1" operator="lessThan">
      <formula>0</formula>
    </cfRule>
  </conditionalFormatting>
  <conditionalFormatting sqref="Q10:Q27">
    <cfRule type="cellIs" dxfId="0" priority="2" operator="greaterThan">
      <formula>0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Adams</dc:creator>
  <cp:lastModifiedBy>Shane Adams</cp:lastModifiedBy>
  <dcterms:created xsi:type="dcterms:W3CDTF">2026-06-09T19:57:15Z</dcterms:created>
  <dcterms:modified xsi:type="dcterms:W3CDTF">2026-06-09T20:00:44Z</dcterms:modified>
</cp:coreProperties>
</file>