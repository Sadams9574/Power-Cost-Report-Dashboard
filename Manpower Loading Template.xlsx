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put" sheetId="2" state="visible" r:id="rId2"/>
    <sheet name="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"/>
    <numFmt numFmtId="166" formatCode="yyyy-mm-dd"/>
    <numFmt numFmtId="167" formatCode="mm/dd/yy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000000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1F4E79"/>
      <sz val="11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3" fontId="6" fillId="4" borderId="1" pivotButton="0" quotePrefix="0" xfId="0"/>
    <xf numFmtId="2" fontId="6" fillId="4" borderId="1" pivotButton="0" quotePrefix="0" xfId="0"/>
    <xf numFmtId="164" fontId="6" fillId="4" borderId="1" pivotButton="0" quotePrefix="0" xfId="0"/>
    <xf numFmtId="1" fontId="7" fillId="0" borderId="1" pivotButton="0" quotePrefix="0" xfId="0"/>
    <xf numFmtId="165" fontId="7" fillId="0" borderId="1" pivotButton="0" quotePrefix="0" xfId="0"/>
    <xf numFmtId="2" fontId="7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2" fontId="6" fillId="3" borderId="1" pivotButton="0" quotePrefix="0" xfId="0"/>
    <xf numFmtId="164" fontId="6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6" fillId="4" borderId="1" pivotButton="0" quotePrefix="0" xfId="0"/>
    <xf numFmtId="165" fontId="7" fillId="0" borderId="1" pivotButton="0" quotePrefix="0" xfId="0"/>
    <xf numFmtId="164" fontId="6" fillId="3" borderId="1" pivotButton="0" quotePrefix="0" xfId="0"/>
    <xf numFmtId="0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center"/>
    </xf>
    <xf numFmtId="0" fontId="10" fillId="5" borderId="0" pivotButton="0" quotePrefix="0" xfId="0"/>
    <xf numFmtId="0" fontId="4" fillId="0" borderId="0" pivotButton="0" quotePrefix="0" xfId="0"/>
    <xf numFmtId="167" fontId="4" fillId="0" borderId="0" applyAlignment="1" pivotButton="0" quotePrefix="0" xfId="0">
      <alignment horizontal="center"/>
    </xf>
    <xf numFmtId="0" fontId="7" fillId="0" borderId="0" pivotButton="0" quotePrefix="0" xfId="0"/>
    <xf numFmtId="165" fontId="7" fillId="0" borderId="0" pivotButton="0" quotePrefix="0" xfId="0"/>
    <xf numFmtId="0" fontId="11" fillId="0" borderId="0" pivotButton="0" quotePrefix="0" xfId="0"/>
    <xf numFmtId="165" fontId="11" fillId="6" borderId="0" pivotButton="0" quotePrefix="0" xfId="0"/>
    <xf numFmtId="2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Example row - overwrite or delete before entering real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Manpower &amp; Quantity Loading Template — How To Use</t>
        </is>
      </c>
    </row>
    <row r="2">
      <c r="A2" s="2" t="inlineStr"/>
    </row>
    <row r="3">
      <c r="A3" s="2" t="inlineStr">
        <is>
          <t>1. Go to the 'Input' tab. Paste (or type) your data starting in row 2, columns A-H, matching the</t>
        </is>
      </c>
    </row>
    <row r="4">
      <c r="A4" s="2" t="inlineStr">
        <is>
          <t xml:space="preserve">   header row exactly: Commodity | Baseline Qty | Baseline Hours | Unit Rate (Hrs/Qty) |</t>
        </is>
      </c>
    </row>
    <row r="5">
      <c r="A5" s="2" t="inlineStr">
        <is>
          <t xml:space="preserve">   Direct or Indirect | WHC or SUB | Start Date | Finish Date. That's the only thing you paste.</t>
        </is>
      </c>
    </row>
    <row r="6">
      <c r="A6" s="2" t="inlineStr"/>
    </row>
    <row r="7">
      <c r="A7" s="2" t="inlineStr">
        <is>
          <t>2. Columns I-P calculate automatically the moment you fill in a row (real Excel formulas — no</t>
        </is>
      </c>
    </row>
    <row r="8">
      <c r="A8" s="2" t="inlineStr">
        <is>
          <t xml:space="preserve">   macro needed): Duration (Days/Weeks), Hrs/Day, Hrs/Week, FTE, Qty/Day, Qty/Week, and</t>
        </is>
      </c>
    </row>
    <row r="9">
      <c r="A9" s="2" t="inlineStr">
        <is>
          <t xml:space="preserve">   Avg Qty/Day/Person. FTE is based on the 'Hours per FTE per Week' assumption in cell S1</t>
        </is>
      </c>
    </row>
    <row r="10">
      <c r="A10" s="2" t="inlineStr">
        <is>
          <t xml:space="preserve">   (default 60) — change that one cell to change the FTE basis for every row at once.</t>
        </is>
      </c>
    </row>
    <row r="11">
      <c r="A11" s="2" t="inlineStr"/>
    </row>
    <row r="12">
      <c r="A12" s="2" t="inlineStr">
        <is>
          <t>3. The 'Calendar' tab spreads every row's Baseline Hours and Baseline Qty in a straight line</t>
        </is>
      </c>
    </row>
    <row r="13">
      <c r="A13" s="2" t="inlineStr">
        <is>
          <t xml:space="preserve">   across its Start-&gt;Finish window, into weekly buckets running left to right, with Total Hours,</t>
        </is>
      </c>
    </row>
    <row r="14">
      <c r="A14" s="2" t="inlineStr">
        <is>
          <t xml:space="preserve">   Total FTE, and Total Qty per week at the bottom. That tab is generated for you — after you</t>
        </is>
      </c>
    </row>
    <row r="15">
      <c r="A15" s="2" t="inlineStr">
        <is>
          <t xml:space="preserve">   paste new or changed rows on Input, just ask Claude Code to refresh the Calendar tab (or run</t>
        </is>
      </c>
    </row>
    <row r="16">
      <c r="A16" s="2" t="inlineStr">
        <is>
          <t xml:space="preserve">   scripts/generate_calendar.py) and it rebuilds the whole grid to match your new date range.</t>
        </is>
      </c>
    </row>
    <row r="17">
      <c r="A17" s="2" t="inlineStr"/>
    </row>
    <row r="18">
      <c r="A18" s="2" t="inlineStr">
        <is>
          <t>4. The template ships with 25 commodity rows. If you need more, select row 26 and copy it down —</t>
        </is>
      </c>
    </row>
    <row r="19">
      <c r="A19" s="2" t="inlineStr">
        <is>
          <t xml:space="preserve">   every Input formula is relative to its own row so it extends cleanly.</t>
        </is>
      </c>
    </row>
    <row r="20">
      <c r="A20" s="2" t="inlineStr"/>
    </row>
    <row r="21">
      <c r="A21" s="2" t="inlineStr">
        <is>
          <t>Color key:  Yellow fill / blue text = cells you edit.   Black text = formulas — do not overwrite.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6" customWidth="1" min="4" max="4"/>
    <col width="14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6" customWidth="1" min="16" max="16"/>
  </cols>
  <sheetData>
    <row r="1" ht="30" customHeight="1">
      <c r="A1" s="3" t="inlineStr">
        <is>
          <t>Commodity</t>
        </is>
      </c>
      <c r="B1" s="3" t="inlineStr">
        <is>
          <t>Baseline Qty</t>
        </is>
      </c>
      <c r="C1" s="3" t="inlineStr">
        <is>
          <t>Baseline Hours</t>
        </is>
      </c>
      <c r="D1" s="3" t="inlineStr">
        <is>
          <t>Unit Rate (Hrs/Qty)</t>
        </is>
      </c>
      <c r="E1" s="3" t="inlineStr">
        <is>
          <t>Direct or Indirect</t>
        </is>
      </c>
      <c r="F1" s="3" t="inlineStr">
        <is>
          <t>WHC or SUB</t>
        </is>
      </c>
      <c r="G1" s="3" t="inlineStr">
        <is>
          <t>Start Date</t>
        </is>
      </c>
      <c r="H1" s="3" t="inlineStr">
        <is>
          <t>Finish Date</t>
        </is>
      </c>
      <c r="I1" s="3" t="inlineStr">
        <is>
          <t>Duration (Days)</t>
        </is>
      </c>
      <c r="J1" s="3" t="inlineStr">
        <is>
          <t>Duration (Weeks)</t>
        </is>
      </c>
      <c r="K1" s="3" t="inlineStr">
        <is>
          <t>Hrs/Day</t>
        </is>
      </c>
      <c r="L1" s="3" t="inlineStr">
        <is>
          <t>Hrs/Week</t>
        </is>
      </c>
      <c r="M1" s="3" t="inlineStr">
        <is>
          <t>FTE (60 hrs/wk)</t>
        </is>
      </c>
      <c r="N1" s="3" t="inlineStr">
        <is>
          <t>Qty/Day</t>
        </is>
      </c>
      <c r="O1" s="3" t="inlineStr">
        <is>
          <t>Qty/Week</t>
        </is>
      </c>
      <c r="P1" s="3" t="inlineStr">
        <is>
          <t>Avg Qty/Day/Person</t>
        </is>
      </c>
      <c r="R1" s="4" t="inlineStr">
        <is>
          <t>Assumption: Hours per FTE per Week</t>
        </is>
      </c>
      <c r="S1" s="5" t="n">
        <v>60</v>
      </c>
    </row>
    <row r="2">
      <c r="A2" s="6" t="inlineStr">
        <is>
          <t>Structural Steel Erection</t>
        </is>
      </c>
      <c r="B2" s="7" t="n">
        <v>1250</v>
      </c>
      <c r="C2" s="7" t="n">
        <v>18750</v>
      </c>
      <c r="D2" s="8" t="n">
        <v>15</v>
      </c>
      <c r="E2" s="6" t="inlineStr">
        <is>
          <t>Direct</t>
        </is>
      </c>
      <c r="F2" s="6" t="inlineStr">
        <is>
          <t>WHC</t>
        </is>
      </c>
      <c r="G2" s="19" t="n">
        <v>46027</v>
      </c>
      <c r="H2" s="19" t="n">
        <v>46139</v>
      </c>
      <c r="I2" s="10">
        <f>IF(OR($G2="",$H2=""),"",$H2-$G2+1)</f>
        <v/>
      </c>
      <c r="J2" s="20">
        <f>IF($I2="","",$I2/7)</f>
        <v/>
      </c>
      <c r="K2" s="20">
        <f>IF(OR($I2="",$I2=0),"",$C2/$I2)</f>
        <v/>
      </c>
      <c r="L2" s="20">
        <f>IF($K2="","",$K2*7)</f>
        <v/>
      </c>
      <c r="M2" s="12">
        <f>IF($L2="","",$L2/$S$1)</f>
        <v/>
      </c>
      <c r="N2" s="20">
        <f>IF(OR($I2="",$I2=0),"",$B2/$I2)</f>
        <v/>
      </c>
      <c r="O2" s="20">
        <f>IF($N2="","",$N2*7)</f>
        <v/>
      </c>
      <c r="P2" s="12">
        <f>IF(OR($N2="",$M2="",$M2=0),"",$N2/$M2)</f>
        <v/>
      </c>
    </row>
    <row r="3">
      <c r="A3" s="13" t="n"/>
      <c r="B3" s="14" t="n"/>
      <c r="C3" s="14" t="n"/>
      <c r="D3" s="15" t="n"/>
      <c r="E3" s="13" t="n"/>
      <c r="F3" s="13" t="n"/>
      <c r="G3" s="21" t="n"/>
      <c r="H3" s="21" t="n"/>
      <c r="I3" s="10">
        <f>IF(OR($G3="",$H3=""),"",$H3-$G3+1)</f>
        <v/>
      </c>
      <c r="J3" s="20">
        <f>IF($I3="","",$I3/7)</f>
        <v/>
      </c>
      <c r="K3" s="20">
        <f>IF(OR($I3="",$I3=0),"",$C3/$I3)</f>
        <v/>
      </c>
      <c r="L3" s="20">
        <f>IF($K3="","",$K3*7)</f>
        <v/>
      </c>
      <c r="M3" s="12">
        <f>IF($L3="","",$L3/$S$1)</f>
        <v/>
      </c>
      <c r="N3" s="20">
        <f>IF(OR($I3="",$I3=0),"",$B3/$I3)</f>
        <v/>
      </c>
      <c r="O3" s="20">
        <f>IF($N3="","",$N3*7)</f>
        <v/>
      </c>
      <c r="P3" s="12">
        <f>IF(OR($N3="",$M3="",$M3=0),"",$N3/$M3)</f>
        <v/>
      </c>
    </row>
    <row r="4">
      <c r="A4" s="13" t="n"/>
      <c r="B4" s="14" t="n"/>
      <c r="C4" s="14" t="n"/>
      <c r="D4" s="15" t="n"/>
      <c r="E4" s="13" t="n"/>
      <c r="F4" s="13" t="n"/>
      <c r="G4" s="21" t="n"/>
      <c r="H4" s="21" t="n"/>
      <c r="I4" s="10">
        <f>IF(OR($G4="",$H4=""),"",$H4-$G4+1)</f>
        <v/>
      </c>
      <c r="J4" s="20">
        <f>IF($I4="","",$I4/7)</f>
        <v/>
      </c>
      <c r="K4" s="20">
        <f>IF(OR($I4="",$I4=0),"",$C4/$I4)</f>
        <v/>
      </c>
      <c r="L4" s="20">
        <f>IF($K4="","",$K4*7)</f>
        <v/>
      </c>
      <c r="M4" s="12">
        <f>IF($L4="","",$L4/$S$1)</f>
        <v/>
      </c>
      <c r="N4" s="20">
        <f>IF(OR($I4="",$I4=0),"",$B4/$I4)</f>
        <v/>
      </c>
      <c r="O4" s="20">
        <f>IF($N4="","",$N4*7)</f>
        <v/>
      </c>
      <c r="P4" s="12">
        <f>IF(OR($N4="",$M4="",$M4=0),"",$N4/$M4)</f>
        <v/>
      </c>
    </row>
    <row r="5">
      <c r="A5" s="13" t="n"/>
      <c r="B5" s="14" t="n"/>
      <c r="C5" s="14" t="n"/>
      <c r="D5" s="15" t="n"/>
      <c r="E5" s="13" t="n"/>
      <c r="F5" s="13" t="n"/>
      <c r="G5" s="21" t="n"/>
      <c r="H5" s="21" t="n"/>
      <c r="I5" s="10">
        <f>IF(OR($G5="",$H5=""),"",$H5-$G5+1)</f>
        <v/>
      </c>
      <c r="J5" s="20">
        <f>IF($I5="","",$I5/7)</f>
        <v/>
      </c>
      <c r="K5" s="20">
        <f>IF(OR($I5="",$I5=0),"",$C5/$I5)</f>
        <v/>
      </c>
      <c r="L5" s="20">
        <f>IF($K5="","",$K5*7)</f>
        <v/>
      </c>
      <c r="M5" s="12">
        <f>IF($L5="","",$L5/$S$1)</f>
        <v/>
      </c>
      <c r="N5" s="20">
        <f>IF(OR($I5="",$I5=0),"",$B5/$I5)</f>
        <v/>
      </c>
      <c r="O5" s="20">
        <f>IF($N5="","",$N5*7)</f>
        <v/>
      </c>
      <c r="P5" s="12">
        <f>IF(OR($N5="",$M5="",$M5=0),"",$N5/$M5)</f>
        <v/>
      </c>
    </row>
    <row r="6">
      <c r="A6" s="13" t="n"/>
      <c r="B6" s="14" t="n"/>
      <c r="C6" s="14" t="n"/>
      <c r="D6" s="15" t="n"/>
      <c r="E6" s="13" t="n"/>
      <c r="F6" s="13" t="n"/>
      <c r="G6" s="21" t="n"/>
      <c r="H6" s="21" t="n"/>
      <c r="I6" s="10">
        <f>IF(OR($G6="",$H6=""),"",$H6-$G6+1)</f>
        <v/>
      </c>
      <c r="J6" s="20">
        <f>IF($I6="","",$I6/7)</f>
        <v/>
      </c>
      <c r="K6" s="20">
        <f>IF(OR($I6="",$I6=0),"",$C6/$I6)</f>
        <v/>
      </c>
      <c r="L6" s="20">
        <f>IF($K6="","",$K6*7)</f>
        <v/>
      </c>
      <c r="M6" s="12">
        <f>IF($L6="","",$L6/$S$1)</f>
        <v/>
      </c>
      <c r="N6" s="20">
        <f>IF(OR($I6="",$I6=0),"",$B6/$I6)</f>
        <v/>
      </c>
      <c r="O6" s="20">
        <f>IF($N6="","",$N6*7)</f>
        <v/>
      </c>
      <c r="P6" s="12">
        <f>IF(OR($N6="",$M6="",$M6=0),"",$N6/$M6)</f>
        <v/>
      </c>
    </row>
    <row r="7">
      <c r="A7" s="13" t="n"/>
      <c r="B7" s="14" t="n"/>
      <c r="C7" s="14" t="n"/>
      <c r="D7" s="15" t="n"/>
      <c r="E7" s="13" t="n"/>
      <c r="F7" s="13" t="n"/>
      <c r="G7" s="21" t="n"/>
      <c r="H7" s="21" t="n"/>
      <c r="I7" s="10">
        <f>IF(OR($G7="",$H7=""),"",$H7-$G7+1)</f>
        <v/>
      </c>
      <c r="J7" s="20">
        <f>IF($I7="","",$I7/7)</f>
        <v/>
      </c>
      <c r="K7" s="20">
        <f>IF(OR($I7="",$I7=0),"",$C7/$I7)</f>
        <v/>
      </c>
      <c r="L7" s="20">
        <f>IF($K7="","",$K7*7)</f>
        <v/>
      </c>
      <c r="M7" s="12">
        <f>IF($L7="","",$L7/$S$1)</f>
        <v/>
      </c>
      <c r="N7" s="20">
        <f>IF(OR($I7="",$I7=0),"",$B7/$I7)</f>
        <v/>
      </c>
      <c r="O7" s="20">
        <f>IF($N7="","",$N7*7)</f>
        <v/>
      </c>
      <c r="P7" s="12">
        <f>IF(OR($N7="",$M7="",$M7=0),"",$N7/$M7)</f>
        <v/>
      </c>
    </row>
    <row r="8">
      <c r="A8" s="13" t="n"/>
      <c r="B8" s="14" t="n"/>
      <c r="C8" s="14" t="n"/>
      <c r="D8" s="15" t="n"/>
      <c r="E8" s="13" t="n"/>
      <c r="F8" s="13" t="n"/>
      <c r="G8" s="21" t="n"/>
      <c r="H8" s="21" t="n"/>
      <c r="I8" s="10">
        <f>IF(OR($G8="",$H8=""),"",$H8-$G8+1)</f>
        <v/>
      </c>
      <c r="J8" s="20">
        <f>IF($I8="","",$I8/7)</f>
        <v/>
      </c>
      <c r="K8" s="20">
        <f>IF(OR($I8="",$I8=0),"",$C8/$I8)</f>
        <v/>
      </c>
      <c r="L8" s="20">
        <f>IF($K8="","",$K8*7)</f>
        <v/>
      </c>
      <c r="M8" s="12">
        <f>IF($L8="","",$L8/$S$1)</f>
        <v/>
      </c>
      <c r="N8" s="20">
        <f>IF(OR($I8="",$I8=0),"",$B8/$I8)</f>
        <v/>
      </c>
      <c r="O8" s="20">
        <f>IF($N8="","",$N8*7)</f>
        <v/>
      </c>
      <c r="P8" s="12">
        <f>IF(OR($N8="",$M8="",$M8=0),"",$N8/$M8)</f>
        <v/>
      </c>
    </row>
    <row r="9">
      <c r="A9" s="13" t="n"/>
      <c r="B9" s="14" t="n"/>
      <c r="C9" s="14" t="n"/>
      <c r="D9" s="15" t="n"/>
      <c r="E9" s="13" t="n"/>
      <c r="F9" s="13" t="n"/>
      <c r="G9" s="21" t="n"/>
      <c r="H9" s="21" t="n"/>
      <c r="I9" s="10">
        <f>IF(OR($G9="",$H9=""),"",$H9-$G9+1)</f>
        <v/>
      </c>
      <c r="J9" s="20">
        <f>IF($I9="","",$I9/7)</f>
        <v/>
      </c>
      <c r="K9" s="20">
        <f>IF(OR($I9="",$I9=0),"",$C9/$I9)</f>
        <v/>
      </c>
      <c r="L9" s="20">
        <f>IF($K9="","",$K9*7)</f>
        <v/>
      </c>
      <c r="M9" s="12">
        <f>IF($L9="","",$L9/$S$1)</f>
        <v/>
      </c>
      <c r="N9" s="20">
        <f>IF(OR($I9="",$I9=0),"",$B9/$I9)</f>
        <v/>
      </c>
      <c r="O9" s="20">
        <f>IF($N9="","",$N9*7)</f>
        <v/>
      </c>
      <c r="P9" s="12">
        <f>IF(OR($N9="",$M9="",$M9=0),"",$N9/$M9)</f>
        <v/>
      </c>
    </row>
    <row r="10">
      <c r="A10" s="13" t="n"/>
      <c r="B10" s="14" t="n"/>
      <c r="C10" s="14" t="n"/>
      <c r="D10" s="15" t="n"/>
      <c r="E10" s="13" t="n"/>
      <c r="F10" s="13" t="n"/>
      <c r="G10" s="21" t="n"/>
      <c r="H10" s="21" t="n"/>
      <c r="I10" s="10">
        <f>IF(OR($G10="",$H10=""),"",$H10-$G10+1)</f>
        <v/>
      </c>
      <c r="J10" s="20">
        <f>IF($I10="","",$I10/7)</f>
        <v/>
      </c>
      <c r="K10" s="20">
        <f>IF(OR($I10="",$I10=0),"",$C10/$I10)</f>
        <v/>
      </c>
      <c r="L10" s="20">
        <f>IF($K10="","",$K10*7)</f>
        <v/>
      </c>
      <c r="M10" s="12">
        <f>IF($L10="","",$L10/$S$1)</f>
        <v/>
      </c>
      <c r="N10" s="20">
        <f>IF(OR($I10="",$I10=0),"",$B10/$I10)</f>
        <v/>
      </c>
      <c r="O10" s="20">
        <f>IF($N10="","",$N10*7)</f>
        <v/>
      </c>
      <c r="P10" s="12">
        <f>IF(OR($N10="",$M10="",$M10=0),"",$N10/$M10)</f>
        <v/>
      </c>
    </row>
    <row r="11">
      <c r="A11" s="13" t="n"/>
      <c r="B11" s="14" t="n"/>
      <c r="C11" s="14" t="n"/>
      <c r="D11" s="15" t="n"/>
      <c r="E11" s="13" t="n"/>
      <c r="F11" s="13" t="n"/>
      <c r="G11" s="21" t="n"/>
      <c r="H11" s="21" t="n"/>
      <c r="I11" s="10">
        <f>IF(OR($G11="",$H11=""),"",$H11-$G11+1)</f>
        <v/>
      </c>
      <c r="J11" s="20">
        <f>IF($I11="","",$I11/7)</f>
        <v/>
      </c>
      <c r="K11" s="20">
        <f>IF(OR($I11="",$I11=0),"",$C11/$I11)</f>
        <v/>
      </c>
      <c r="L11" s="20">
        <f>IF($K11="","",$K11*7)</f>
        <v/>
      </c>
      <c r="M11" s="12">
        <f>IF($L11="","",$L11/$S$1)</f>
        <v/>
      </c>
      <c r="N11" s="20">
        <f>IF(OR($I11="",$I11=0),"",$B11/$I11)</f>
        <v/>
      </c>
      <c r="O11" s="20">
        <f>IF($N11="","",$N11*7)</f>
        <v/>
      </c>
      <c r="P11" s="12">
        <f>IF(OR($N11="",$M11="",$M11=0),"",$N11/$M11)</f>
        <v/>
      </c>
    </row>
    <row r="12">
      <c r="A12" s="13" t="n"/>
      <c r="B12" s="14" t="n"/>
      <c r="C12" s="14" t="n"/>
      <c r="D12" s="15" t="n"/>
      <c r="E12" s="13" t="n"/>
      <c r="F12" s="13" t="n"/>
      <c r="G12" s="21" t="n"/>
      <c r="H12" s="21" t="n"/>
      <c r="I12" s="10">
        <f>IF(OR($G12="",$H12=""),"",$H12-$G12+1)</f>
        <v/>
      </c>
      <c r="J12" s="20">
        <f>IF($I12="","",$I12/7)</f>
        <v/>
      </c>
      <c r="K12" s="20">
        <f>IF(OR($I12="",$I12=0),"",$C12/$I12)</f>
        <v/>
      </c>
      <c r="L12" s="20">
        <f>IF($K12="","",$K12*7)</f>
        <v/>
      </c>
      <c r="M12" s="12">
        <f>IF($L12="","",$L12/$S$1)</f>
        <v/>
      </c>
      <c r="N12" s="20">
        <f>IF(OR($I12="",$I12=0),"",$B12/$I12)</f>
        <v/>
      </c>
      <c r="O12" s="20">
        <f>IF($N12="","",$N12*7)</f>
        <v/>
      </c>
      <c r="P12" s="12">
        <f>IF(OR($N12="",$M12="",$M12=0),"",$N12/$M12)</f>
        <v/>
      </c>
    </row>
    <row r="13">
      <c r="A13" s="13" t="n"/>
      <c r="B13" s="14" t="n"/>
      <c r="C13" s="14" t="n"/>
      <c r="D13" s="15" t="n"/>
      <c r="E13" s="13" t="n"/>
      <c r="F13" s="13" t="n"/>
      <c r="G13" s="21" t="n"/>
      <c r="H13" s="21" t="n"/>
      <c r="I13" s="10">
        <f>IF(OR($G13="",$H13=""),"",$H13-$G13+1)</f>
        <v/>
      </c>
      <c r="J13" s="20">
        <f>IF($I13="","",$I13/7)</f>
        <v/>
      </c>
      <c r="K13" s="20">
        <f>IF(OR($I13="",$I13=0),"",$C13/$I13)</f>
        <v/>
      </c>
      <c r="L13" s="20">
        <f>IF($K13="","",$K13*7)</f>
        <v/>
      </c>
      <c r="M13" s="12">
        <f>IF($L13="","",$L13/$S$1)</f>
        <v/>
      </c>
      <c r="N13" s="20">
        <f>IF(OR($I13="",$I13=0),"",$B13/$I13)</f>
        <v/>
      </c>
      <c r="O13" s="20">
        <f>IF($N13="","",$N13*7)</f>
        <v/>
      </c>
      <c r="P13" s="12">
        <f>IF(OR($N13="",$M13="",$M13=0),"",$N13/$M13)</f>
        <v/>
      </c>
    </row>
    <row r="14">
      <c r="A14" s="13" t="n"/>
      <c r="B14" s="14" t="n"/>
      <c r="C14" s="14" t="n"/>
      <c r="D14" s="15" t="n"/>
      <c r="E14" s="13" t="n"/>
      <c r="F14" s="13" t="n"/>
      <c r="G14" s="21" t="n"/>
      <c r="H14" s="21" t="n"/>
      <c r="I14" s="10">
        <f>IF(OR($G14="",$H14=""),"",$H14-$G14+1)</f>
        <v/>
      </c>
      <c r="J14" s="20">
        <f>IF($I14="","",$I14/7)</f>
        <v/>
      </c>
      <c r="K14" s="20">
        <f>IF(OR($I14="",$I14=0),"",$C14/$I14)</f>
        <v/>
      </c>
      <c r="L14" s="20">
        <f>IF($K14="","",$K14*7)</f>
        <v/>
      </c>
      <c r="M14" s="12">
        <f>IF($L14="","",$L14/$S$1)</f>
        <v/>
      </c>
      <c r="N14" s="20">
        <f>IF(OR($I14="",$I14=0),"",$B14/$I14)</f>
        <v/>
      </c>
      <c r="O14" s="20">
        <f>IF($N14="","",$N14*7)</f>
        <v/>
      </c>
      <c r="P14" s="12">
        <f>IF(OR($N14="",$M14="",$M14=0),"",$N14/$M14)</f>
        <v/>
      </c>
    </row>
    <row r="15">
      <c r="A15" s="13" t="n"/>
      <c r="B15" s="14" t="n"/>
      <c r="C15" s="14" t="n"/>
      <c r="D15" s="15" t="n"/>
      <c r="E15" s="13" t="n"/>
      <c r="F15" s="13" t="n"/>
      <c r="G15" s="21" t="n"/>
      <c r="H15" s="21" t="n"/>
      <c r="I15" s="10">
        <f>IF(OR($G15="",$H15=""),"",$H15-$G15+1)</f>
        <v/>
      </c>
      <c r="J15" s="20">
        <f>IF($I15="","",$I15/7)</f>
        <v/>
      </c>
      <c r="K15" s="20">
        <f>IF(OR($I15="",$I15=0),"",$C15/$I15)</f>
        <v/>
      </c>
      <c r="L15" s="20">
        <f>IF($K15="","",$K15*7)</f>
        <v/>
      </c>
      <c r="M15" s="12">
        <f>IF($L15="","",$L15/$S$1)</f>
        <v/>
      </c>
      <c r="N15" s="20">
        <f>IF(OR($I15="",$I15=0),"",$B15/$I15)</f>
        <v/>
      </c>
      <c r="O15" s="20">
        <f>IF($N15="","",$N15*7)</f>
        <v/>
      </c>
      <c r="P15" s="12">
        <f>IF(OR($N15="",$M15="",$M15=0),"",$N15/$M15)</f>
        <v/>
      </c>
    </row>
    <row r="16">
      <c r="A16" s="13" t="n"/>
      <c r="B16" s="14" t="n"/>
      <c r="C16" s="14" t="n"/>
      <c r="D16" s="15" t="n"/>
      <c r="E16" s="13" t="n"/>
      <c r="F16" s="13" t="n"/>
      <c r="G16" s="21" t="n"/>
      <c r="H16" s="21" t="n"/>
      <c r="I16" s="10">
        <f>IF(OR($G16="",$H16=""),"",$H16-$G16+1)</f>
        <v/>
      </c>
      <c r="J16" s="20">
        <f>IF($I16="","",$I16/7)</f>
        <v/>
      </c>
      <c r="K16" s="20">
        <f>IF(OR($I16="",$I16=0),"",$C16/$I16)</f>
        <v/>
      </c>
      <c r="L16" s="20">
        <f>IF($K16="","",$K16*7)</f>
        <v/>
      </c>
      <c r="M16" s="12">
        <f>IF($L16="","",$L16/$S$1)</f>
        <v/>
      </c>
      <c r="N16" s="20">
        <f>IF(OR($I16="",$I16=0),"",$B16/$I16)</f>
        <v/>
      </c>
      <c r="O16" s="20">
        <f>IF($N16="","",$N16*7)</f>
        <v/>
      </c>
      <c r="P16" s="12">
        <f>IF(OR($N16="",$M16="",$M16=0),"",$N16/$M16)</f>
        <v/>
      </c>
    </row>
    <row r="17">
      <c r="A17" s="13" t="n"/>
      <c r="B17" s="14" t="n"/>
      <c r="C17" s="14" t="n"/>
      <c r="D17" s="15" t="n"/>
      <c r="E17" s="13" t="n"/>
      <c r="F17" s="13" t="n"/>
      <c r="G17" s="21" t="n"/>
      <c r="H17" s="21" t="n"/>
      <c r="I17" s="10">
        <f>IF(OR($G17="",$H17=""),"",$H17-$G17+1)</f>
        <v/>
      </c>
      <c r="J17" s="20">
        <f>IF($I17="","",$I17/7)</f>
        <v/>
      </c>
      <c r="K17" s="20">
        <f>IF(OR($I17="",$I17=0),"",$C17/$I17)</f>
        <v/>
      </c>
      <c r="L17" s="20">
        <f>IF($K17="","",$K17*7)</f>
        <v/>
      </c>
      <c r="M17" s="12">
        <f>IF($L17="","",$L17/$S$1)</f>
        <v/>
      </c>
      <c r="N17" s="20">
        <f>IF(OR($I17="",$I17=0),"",$B17/$I17)</f>
        <v/>
      </c>
      <c r="O17" s="20">
        <f>IF($N17="","",$N17*7)</f>
        <v/>
      </c>
      <c r="P17" s="12">
        <f>IF(OR($N17="",$M17="",$M17=0),"",$N17/$M17)</f>
        <v/>
      </c>
    </row>
    <row r="18">
      <c r="A18" s="13" t="n"/>
      <c r="B18" s="14" t="n"/>
      <c r="C18" s="14" t="n"/>
      <c r="D18" s="15" t="n"/>
      <c r="E18" s="13" t="n"/>
      <c r="F18" s="13" t="n"/>
      <c r="G18" s="21" t="n"/>
      <c r="H18" s="21" t="n"/>
      <c r="I18" s="10">
        <f>IF(OR($G18="",$H18=""),"",$H18-$G18+1)</f>
        <v/>
      </c>
      <c r="J18" s="20">
        <f>IF($I18="","",$I18/7)</f>
        <v/>
      </c>
      <c r="K18" s="20">
        <f>IF(OR($I18="",$I18=0),"",$C18/$I18)</f>
        <v/>
      </c>
      <c r="L18" s="20">
        <f>IF($K18="","",$K18*7)</f>
        <v/>
      </c>
      <c r="M18" s="12">
        <f>IF($L18="","",$L18/$S$1)</f>
        <v/>
      </c>
      <c r="N18" s="20">
        <f>IF(OR($I18="",$I18=0),"",$B18/$I18)</f>
        <v/>
      </c>
      <c r="O18" s="20">
        <f>IF($N18="","",$N18*7)</f>
        <v/>
      </c>
      <c r="P18" s="12">
        <f>IF(OR($N18="",$M18="",$M18=0),"",$N18/$M18)</f>
        <v/>
      </c>
    </row>
    <row r="19">
      <c r="A19" s="13" t="n"/>
      <c r="B19" s="14" t="n"/>
      <c r="C19" s="14" t="n"/>
      <c r="D19" s="15" t="n"/>
      <c r="E19" s="13" t="n"/>
      <c r="F19" s="13" t="n"/>
      <c r="G19" s="21" t="n"/>
      <c r="H19" s="21" t="n"/>
      <c r="I19" s="10">
        <f>IF(OR($G19="",$H19=""),"",$H19-$G19+1)</f>
        <v/>
      </c>
      <c r="J19" s="20">
        <f>IF($I19="","",$I19/7)</f>
        <v/>
      </c>
      <c r="K19" s="20">
        <f>IF(OR($I19="",$I19=0),"",$C19/$I19)</f>
        <v/>
      </c>
      <c r="L19" s="20">
        <f>IF($K19="","",$K19*7)</f>
        <v/>
      </c>
      <c r="M19" s="12">
        <f>IF($L19="","",$L19/$S$1)</f>
        <v/>
      </c>
      <c r="N19" s="20">
        <f>IF(OR($I19="",$I19=0),"",$B19/$I19)</f>
        <v/>
      </c>
      <c r="O19" s="20">
        <f>IF($N19="","",$N19*7)</f>
        <v/>
      </c>
      <c r="P19" s="12">
        <f>IF(OR($N19="",$M19="",$M19=0),"",$N19/$M19)</f>
        <v/>
      </c>
    </row>
    <row r="20">
      <c r="A20" s="13" t="n"/>
      <c r="B20" s="14" t="n"/>
      <c r="C20" s="14" t="n"/>
      <c r="D20" s="15" t="n"/>
      <c r="E20" s="13" t="n"/>
      <c r="F20" s="13" t="n"/>
      <c r="G20" s="21" t="n"/>
      <c r="H20" s="21" t="n"/>
      <c r="I20" s="10">
        <f>IF(OR($G20="",$H20=""),"",$H20-$G20+1)</f>
        <v/>
      </c>
      <c r="J20" s="20">
        <f>IF($I20="","",$I20/7)</f>
        <v/>
      </c>
      <c r="K20" s="20">
        <f>IF(OR($I20="",$I20=0),"",$C20/$I20)</f>
        <v/>
      </c>
      <c r="L20" s="20">
        <f>IF($K20="","",$K20*7)</f>
        <v/>
      </c>
      <c r="M20" s="12">
        <f>IF($L20="","",$L20/$S$1)</f>
        <v/>
      </c>
      <c r="N20" s="20">
        <f>IF(OR($I20="",$I20=0),"",$B20/$I20)</f>
        <v/>
      </c>
      <c r="O20" s="20">
        <f>IF($N20="","",$N20*7)</f>
        <v/>
      </c>
      <c r="P20" s="12">
        <f>IF(OR($N20="",$M20="",$M20=0),"",$N20/$M20)</f>
        <v/>
      </c>
    </row>
    <row r="21">
      <c r="A21" s="13" t="n"/>
      <c r="B21" s="14" t="n"/>
      <c r="C21" s="14" t="n"/>
      <c r="D21" s="15" t="n"/>
      <c r="E21" s="13" t="n"/>
      <c r="F21" s="13" t="n"/>
      <c r="G21" s="21" t="n"/>
      <c r="H21" s="21" t="n"/>
      <c r="I21" s="10">
        <f>IF(OR($G21="",$H21=""),"",$H21-$G21+1)</f>
        <v/>
      </c>
      <c r="J21" s="20">
        <f>IF($I21="","",$I21/7)</f>
        <v/>
      </c>
      <c r="K21" s="20">
        <f>IF(OR($I21="",$I21=0),"",$C21/$I21)</f>
        <v/>
      </c>
      <c r="L21" s="20">
        <f>IF($K21="","",$K21*7)</f>
        <v/>
      </c>
      <c r="M21" s="12">
        <f>IF($L21="","",$L21/$S$1)</f>
        <v/>
      </c>
      <c r="N21" s="20">
        <f>IF(OR($I21="",$I21=0),"",$B21/$I21)</f>
        <v/>
      </c>
      <c r="O21" s="20">
        <f>IF($N21="","",$N21*7)</f>
        <v/>
      </c>
      <c r="P21" s="12">
        <f>IF(OR($N21="",$M21="",$M21=0),"",$N21/$M21)</f>
        <v/>
      </c>
    </row>
    <row r="22">
      <c r="A22" s="13" t="n"/>
      <c r="B22" s="14" t="n"/>
      <c r="C22" s="14" t="n"/>
      <c r="D22" s="15" t="n"/>
      <c r="E22" s="13" t="n"/>
      <c r="F22" s="13" t="n"/>
      <c r="G22" s="21" t="n"/>
      <c r="H22" s="21" t="n"/>
      <c r="I22" s="10">
        <f>IF(OR($G22="",$H22=""),"",$H22-$G22+1)</f>
        <v/>
      </c>
      <c r="J22" s="20">
        <f>IF($I22="","",$I22/7)</f>
        <v/>
      </c>
      <c r="K22" s="20">
        <f>IF(OR($I22="",$I22=0),"",$C22/$I22)</f>
        <v/>
      </c>
      <c r="L22" s="20">
        <f>IF($K22="","",$K22*7)</f>
        <v/>
      </c>
      <c r="M22" s="12">
        <f>IF($L22="","",$L22/$S$1)</f>
        <v/>
      </c>
      <c r="N22" s="20">
        <f>IF(OR($I22="",$I22=0),"",$B22/$I22)</f>
        <v/>
      </c>
      <c r="O22" s="20">
        <f>IF($N22="","",$N22*7)</f>
        <v/>
      </c>
      <c r="P22" s="12">
        <f>IF(OR($N22="",$M22="",$M22=0),"",$N22/$M22)</f>
        <v/>
      </c>
    </row>
    <row r="23">
      <c r="A23" s="13" t="n"/>
      <c r="B23" s="14" t="n"/>
      <c r="C23" s="14" t="n"/>
      <c r="D23" s="15" t="n"/>
      <c r="E23" s="13" t="n"/>
      <c r="F23" s="13" t="n"/>
      <c r="G23" s="21" t="n"/>
      <c r="H23" s="21" t="n"/>
      <c r="I23" s="10">
        <f>IF(OR($G23="",$H23=""),"",$H23-$G23+1)</f>
        <v/>
      </c>
      <c r="J23" s="20">
        <f>IF($I23="","",$I23/7)</f>
        <v/>
      </c>
      <c r="K23" s="20">
        <f>IF(OR($I23="",$I23=0),"",$C23/$I23)</f>
        <v/>
      </c>
      <c r="L23" s="20">
        <f>IF($K23="","",$K23*7)</f>
        <v/>
      </c>
      <c r="M23" s="12">
        <f>IF($L23="","",$L23/$S$1)</f>
        <v/>
      </c>
      <c r="N23" s="20">
        <f>IF(OR($I23="",$I23=0),"",$B23/$I23)</f>
        <v/>
      </c>
      <c r="O23" s="20">
        <f>IF($N23="","",$N23*7)</f>
        <v/>
      </c>
      <c r="P23" s="12">
        <f>IF(OR($N23="",$M23="",$M23=0),"",$N23/$M23)</f>
        <v/>
      </c>
    </row>
    <row r="24">
      <c r="A24" s="13" t="n"/>
      <c r="B24" s="14" t="n"/>
      <c r="C24" s="14" t="n"/>
      <c r="D24" s="15" t="n"/>
      <c r="E24" s="13" t="n"/>
      <c r="F24" s="13" t="n"/>
      <c r="G24" s="21" t="n"/>
      <c r="H24" s="21" t="n"/>
      <c r="I24" s="10">
        <f>IF(OR($G24="",$H24=""),"",$H24-$G24+1)</f>
        <v/>
      </c>
      <c r="J24" s="20">
        <f>IF($I24="","",$I24/7)</f>
        <v/>
      </c>
      <c r="K24" s="20">
        <f>IF(OR($I24="",$I24=0),"",$C24/$I24)</f>
        <v/>
      </c>
      <c r="L24" s="20">
        <f>IF($K24="","",$K24*7)</f>
        <v/>
      </c>
      <c r="M24" s="12">
        <f>IF($L24="","",$L24/$S$1)</f>
        <v/>
      </c>
      <c r="N24" s="20">
        <f>IF(OR($I24="",$I24=0),"",$B24/$I24)</f>
        <v/>
      </c>
      <c r="O24" s="20">
        <f>IF($N24="","",$N24*7)</f>
        <v/>
      </c>
      <c r="P24" s="12">
        <f>IF(OR($N24="",$M24="",$M24=0),"",$N24/$M24)</f>
        <v/>
      </c>
    </row>
    <row r="25">
      <c r="A25" s="13" t="n"/>
      <c r="B25" s="14" t="n"/>
      <c r="C25" s="14" t="n"/>
      <c r="D25" s="15" t="n"/>
      <c r="E25" s="13" t="n"/>
      <c r="F25" s="13" t="n"/>
      <c r="G25" s="21" t="n"/>
      <c r="H25" s="21" t="n"/>
      <c r="I25" s="10">
        <f>IF(OR($G25="",$H25=""),"",$H25-$G25+1)</f>
        <v/>
      </c>
      <c r="J25" s="20">
        <f>IF($I25="","",$I25/7)</f>
        <v/>
      </c>
      <c r="K25" s="20">
        <f>IF(OR($I25="",$I25=0),"",$C25/$I25)</f>
        <v/>
      </c>
      <c r="L25" s="20">
        <f>IF($K25="","",$K25*7)</f>
        <v/>
      </c>
      <c r="M25" s="12">
        <f>IF($L25="","",$L25/$S$1)</f>
        <v/>
      </c>
      <c r="N25" s="20">
        <f>IF(OR($I25="",$I25=0),"",$B25/$I25)</f>
        <v/>
      </c>
      <c r="O25" s="20">
        <f>IF($N25="","",$N25*7)</f>
        <v/>
      </c>
      <c r="P25" s="12">
        <f>IF(OR($N25="",$M25="",$M25=0),"",$N25/$M25)</f>
        <v/>
      </c>
    </row>
    <row r="26">
      <c r="A26" s="13" t="n"/>
      <c r="B26" s="14" t="n"/>
      <c r="C26" s="14" t="n"/>
      <c r="D26" s="15" t="n"/>
      <c r="E26" s="13" t="n"/>
      <c r="F26" s="13" t="n"/>
      <c r="G26" s="21" t="n"/>
      <c r="H26" s="21" t="n"/>
      <c r="I26" s="10">
        <f>IF(OR($G26="",$H26=""),"",$H26-$G26+1)</f>
        <v/>
      </c>
      <c r="J26" s="20">
        <f>IF($I26="","",$I26/7)</f>
        <v/>
      </c>
      <c r="K26" s="20">
        <f>IF(OR($I26="",$I26=0),"",$C26/$I26)</f>
        <v/>
      </c>
      <c r="L26" s="20">
        <f>IF($K26="","",$K26*7)</f>
        <v/>
      </c>
      <c r="M26" s="12">
        <f>IF($L26="","",$L26/$S$1)</f>
        <v/>
      </c>
      <c r="N26" s="20">
        <f>IF(OR($I26="",$I26=0),"",$B26/$I26)</f>
        <v/>
      </c>
      <c r="O26" s="20">
        <f>IF($N26="","",$N26*7)</f>
        <v/>
      </c>
      <c r="P26" s="12">
        <f>IF(OR($N26="",$M26="",$M26=0),"",$N26/$M26)</f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</sheetData>
  <dataValidations count="2">
    <dataValidation sqref="E2:E26" showDropDown="0" showInputMessage="0" showErrorMessage="0" allowBlank="1" type="list">
      <formula1>"Direct,Indirect"</formula1>
    </dataValidation>
    <dataValidation sqref="F2:F26" showDropDown="0" showInputMessage="0" showErrorMessage="0" allowBlank="1" type="list">
      <formula1>"WHC,SUB"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17" t="inlineStr">
        <is>
          <t>Weekly Manpower &amp; Quantity Calendar</t>
        </is>
      </c>
    </row>
    <row r="2">
      <c r="A2" s="18" t="inlineStr">
        <is>
          <t>Straight-line spread of each Input row's Baseline Hours / Baseline Qty across its Start-Finish window, in weekly buckets left to right. Regenerated by scripts/generate_calendar.py — re-run after editing the Input tab.</t>
        </is>
      </c>
    </row>
    <row r="3">
      <c r="A3" s="22" t="inlineStr">
        <is>
          <t>Commodity</t>
        </is>
      </c>
      <c r="B3" s="22" t="inlineStr">
        <is>
          <t>WHC or SUB</t>
        </is>
      </c>
      <c r="C3" s="23" t="n">
        <v>46027</v>
      </c>
      <c r="D3" s="23" t="n">
        <v>46034</v>
      </c>
      <c r="E3" s="23" t="n">
        <v>46041</v>
      </c>
      <c r="F3" s="23" t="n">
        <v>46048</v>
      </c>
      <c r="G3" s="23" t="n">
        <v>46055</v>
      </c>
      <c r="H3" s="23" t="n">
        <v>46062</v>
      </c>
      <c r="I3" s="23" t="n">
        <v>46069</v>
      </c>
      <c r="J3" s="23" t="n">
        <v>46076</v>
      </c>
      <c r="K3" s="23" t="n">
        <v>46083</v>
      </c>
      <c r="L3" s="23" t="n">
        <v>46090</v>
      </c>
      <c r="M3" s="23" t="n">
        <v>46097</v>
      </c>
      <c r="N3" s="23" t="n">
        <v>46104</v>
      </c>
      <c r="O3" s="23" t="n">
        <v>46111</v>
      </c>
      <c r="P3" s="23" t="n">
        <v>46118</v>
      </c>
      <c r="Q3" s="23" t="n">
        <v>46125</v>
      </c>
      <c r="R3" s="23" t="n">
        <v>46132</v>
      </c>
      <c r="S3" s="23" t="n">
        <v>46139</v>
      </c>
    </row>
    <row r="4">
      <c r="A4" s="24" t="inlineStr">
        <is>
          <t>HOURS PER WEEK  (Baseline Hours spread straight-line across Start-Finish)</t>
        </is>
      </c>
    </row>
    <row r="5">
      <c r="A5" s="25" t="inlineStr">
        <is>
          <t>Commodity</t>
        </is>
      </c>
      <c r="B5" s="25" t="inlineStr">
        <is>
          <t>WHC or SUB</t>
        </is>
      </c>
      <c r="C5" s="26" t="n">
        <v>46027</v>
      </c>
      <c r="D5" s="26" t="n">
        <v>46034</v>
      </c>
      <c r="E5" s="26" t="n">
        <v>46041</v>
      </c>
      <c r="F5" s="26" t="n">
        <v>46048</v>
      </c>
      <c r="G5" s="26" t="n">
        <v>46055</v>
      </c>
      <c r="H5" s="26" t="n">
        <v>46062</v>
      </c>
      <c r="I5" s="26" t="n">
        <v>46069</v>
      </c>
      <c r="J5" s="26" t="n">
        <v>46076</v>
      </c>
      <c r="K5" s="26" t="n">
        <v>46083</v>
      </c>
      <c r="L5" s="26" t="n">
        <v>46090</v>
      </c>
      <c r="M5" s="26" t="n">
        <v>46097</v>
      </c>
      <c r="N5" s="26" t="n">
        <v>46104</v>
      </c>
      <c r="O5" s="26" t="n">
        <v>46111</v>
      </c>
      <c r="P5" s="26" t="n">
        <v>46118</v>
      </c>
      <c r="Q5" s="26" t="n">
        <v>46125</v>
      </c>
      <c r="R5" s="26" t="n">
        <v>46132</v>
      </c>
      <c r="S5" s="26" t="n">
        <v>46139</v>
      </c>
    </row>
    <row r="6">
      <c r="A6" s="27" t="inlineStr">
        <is>
          <t>Structural Steel Erection</t>
        </is>
      </c>
      <c r="B6" s="27" t="inlineStr">
        <is>
          <t>WHC</t>
        </is>
      </c>
      <c r="C6" s="28" t="n">
        <v>1161.5</v>
      </c>
      <c r="D6" s="28" t="n">
        <v>1161.5</v>
      </c>
      <c r="E6" s="28" t="n">
        <v>1161.5</v>
      </c>
      <c r="F6" s="28" t="n">
        <v>1161.5</v>
      </c>
      <c r="G6" s="28" t="n">
        <v>1161.5</v>
      </c>
      <c r="H6" s="28" t="n">
        <v>1161.5</v>
      </c>
      <c r="I6" s="28" t="n">
        <v>1161.5</v>
      </c>
      <c r="J6" s="28" t="n">
        <v>1161.5</v>
      </c>
      <c r="K6" s="28" t="n">
        <v>1161.5</v>
      </c>
      <c r="L6" s="28" t="n">
        <v>1161.5</v>
      </c>
      <c r="M6" s="28" t="n">
        <v>1161.5</v>
      </c>
      <c r="N6" s="28" t="n">
        <v>1161.5</v>
      </c>
      <c r="O6" s="28" t="n">
        <v>1161.5</v>
      </c>
      <c r="P6" s="28" t="n">
        <v>1161.5</v>
      </c>
      <c r="Q6" s="28" t="n">
        <v>1161.5</v>
      </c>
      <c r="R6" s="28" t="n">
        <v>1161.5</v>
      </c>
      <c r="S6" s="28" t="n">
        <v>165.93</v>
      </c>
    </row>
    <row r="7">
      <c r="A7" s="29" t="inlineStr">
        <is>
          <t>TOTAL HOURS / WEEK</t>
        </is>
      </c>
      <c r="C7" s="30" t="n">
        <v>1161.5</v>
      </c>
      <c r="D7" s="30" t="n">
        <v>1161.5</v>
      </c>
      <c r="E7" s="30" t="n">
        <v>1161.5</v>
      </c>
      <c r="F7" s="30" t="n">
        <v>1161.5</v>
      </c>
      <c r="G7" s="30" t="n">
        <v>1161.5</v>
      </c>
      <c r="H7" s="30" t="n">
        <v>1161.5</v>
      </c>
      <c r="I7" s="30" t="n">
        <v>1161.5</v>
      </c>
      <c r="J7" s="30" t="n">
        <v>1161.5</v>
      </c>
      <c r="K7" s="30" t="n">
        <v>1161.5</v>
      </c>
      <c r="L7" s="30" t="n">
        <v>1161.5</v>
      </c>
      <c r="M7" s="30" t="n">
        <v>1161.5</v>
      </c>
      <c r="N7" s="30" t="n">
        <v>1161.5</v>
      </c>
      <c r="O7" s="30" t="n">
        <v>1161.5</v>
      </c>
      <c r="P7" s="30" t="n">
        <v>1161.5</v>
      </c>
      <c r="Q7" s="30" t="n">
        <v>1161.5</v>
      </c>
      <c r="R7" s="30" t="n">
        <v>1161.5</v>
      </c>
      <c r="S7" s="30" t="n">
        <v>165.93</v>
      </c>
    </row>
    <row r="8">
      <c r="A8" s="29" t="inlineStr">
        <is>
          <t>TOTAL FTE (Hrs/Week / FTE basis)</t>
        </is>
      </c>
      <c r="C8" s="31" t="n">
        <v>19.36</v>
      </c>
      <c r="D8" s="31" t="n">
        <v>19.36</v>
      </c>
      <c r="E8" s="31" t="n">
        <v>19.36</v>
      </c>
      <c r="F8" s="31" t="n">
        <v>19.36</v>
      </c>
      <c r="G8" s="31" t="n">
        <v>19.36</v>
      </c>
      <c r="H8" s="31" t="n">
        <v>19.36</v>
      </c>
      <c r="I8" s="31" t="n">
        <v>19.36</v>
      </c>
      <c r="J8" s="31" t="n">
        <v>19.36</v>
      </c>
      <c r="K8" s="31" t="n">
        <v>19.36</v>
      </c>
      <c r="L8" s="31" t="n">
        <v>19.36</v>
      </c>
      <c r="M8" s="31" t="n">
        <v>19.36</v>
      </c>
      <c r="N8" s="31" t="n">
        <v>19.36</v>
      </c>
      <c r="O8" s="31" t="n">
        <v>19.36</v>
      </c>
      <c r="P8" s="31" t="n">
        <v>19.36</v>
      </c>
      <c r="Q8" s="31" t="n">
        <v>19.36</v>
      </c>
      <c r="R8" s="31" t="n">
        <v>19.36</v>
      </c>
      <c r="S8" s="31" t="n">
        <v>2.77</v>
      </c>
    </row>
    <row r="10">
      <c r="A10" s="24" t="inlineStr">
        <is>
          <t>QUANTITY PER WEEK  (Baseline Qty spread straight-line across Start-Finish)</t>
        </is>
      </c>
    </row>
    <row r="11">
      <c r="A11" s="25" t="inlineStr">
        <is>
          <t>Commodity</t>
        </is>
      </c>
      <c r="B11" s="25" t="inlineStr">
        <is>
          <t>WHC or SUB</t>
        </is>
      </c>
      <c r="C11" s="26" t="n">
        <v>46027</v>
      </c>
      <c r="D11" s="26" t="n">
        <v>46034</v>
      </c>
      <c r="E11" s="26" t="n">
        <v>46041</v>
      </c>
      <c r="F11" s="26" t="n">
        <v>46048</v>
      </c>
      <c r="G11" s="26" t="n">
        <v>46055</v>
      </c>
      <c r="H11" s="26" t="n">
        <v>46062</v>
      </c>
      <c r="I11" s="26" t="n">
        <v>46069</v>
      </c>
      <c r="J11" s="26" t="n">
        <v>46076</v>
      </c>
      <c r="K11" s="26" t="n">
        <v>46083</v>
      </c>
      <c r="L11" s="26" t="n">
        <v>46090</v>
      </c>
      <c r="M11" s="26" t="n">
        <v>46097</v>
      </c>
      <c r="N11" s="26" t="n">
        <v>46104</v>
      </c>
      <c r="O11" s="26" t="n">
        <v>46111</v>
      </c>
      <c r="P11" s="26" t="n">
        <v>46118</v>
      </c>
      <c r="Q11" s="26" t="n">
        <v>46125</v>
      </c>
      <c r="R11" s="26" t="n">
        <v>46132</v>
      </c>
      <c r="S11" s="26" t="n">
        <v>46139</v>
      </c>
    </row>
    <row r="12">
      <c r="A12" s="27" t="inlineStr">
        <is>
          <t>Structural Steel Erection</t>
        </is>
      </c>
      <c r="B12" s="27" t="inlineStr">
        <is>
          <t>WHC</t>
        </is>
      </c>
      <c r="C12" s="28" t="n">
        <v>77.43000000000001</v>
      </c>
      <c r="D12" s="28" t="n">
        <v>77.43000000000001</v>
      </c>
      <c r="E12" s="28" t="n">
        <v>77.43000000000001</v>
      </c>
      <c r="F12" s="28" t="n">
        <v>77.43000000000001</v>
      </c>
      <c r="G12" s="28" t="n">
        <v>77.43000000000001</v>
      </c>
      <c r="H12" s="28" t="n">
        <v>77.43000000000001</v>
      </c>
      <c r="I12" s="28" t="n">
        <v>77.43000000000001</v>
      </c>
      <c r="J12" s="28" t="n">
        <v>77.43000000000001</v>
      </c>
      <c r="K12" s="28" t="n">
        <v>77.43000000000001</v>
      </c>
      <c r="L12" s="28" t="n">
        <v>77.43000000000001</v>
      </c>
      <c r="M12" s="28" t="n">
        <v>77.43000000000001</v>
      </c>
      <c r="N12" s="28" t="n">
        <v>77.43000000000001</v>
      </c>
      <c r="O12" s="28" t="n">
        <v>77.43000000000001</v>
      </c>
      <c r="P12" s="28" t="n">
        <v>77.43000000000001</v>
      </c>
      <c r="Q12" s="28" t="n">
        <v>77.43000000000001</v>
      </c>
      <c r="R12" s="28" t="n">
        <v>77.43000000000001</v>
      </c>
      <c r="S12" s="28" t="n">
        <v>11.06</v>
      </c>
    </row>
    <row r="13">
      <c r="A13" s="29" t="inlineStr">
        <is>
          <t>TOTAL QTY / WEEK</t>
        </is>
      </c>
      <c r="C13" s="30" t="n">
        <v>77.43000000000001</v>
      </c>
      <c r="D13" s="30" t="n">
        <v>77.43000000000001</v>
      </c>
      <c r="E13" s="30" t="n">
        <v>77.43000000000001</v>
      </c>
      <c r="F13" s="30" t="n">
        <v>77.43000000000001</v>
      </c>
      <c r="G13" s="30" t="n">
        <v>77.43000000000001</v>
      </c>
      <c r="H13" s="30" t="n">
        <v>77.43000000000001</v>
      </c>
      <c r="I13" s="30" t="n">
        <v>77.43000000000001</v>
      </c>
      <c r="J13" s="30" t="n">
        <v>77.43000000000001</v>
      </c>
      <c r="K13" s="30" t="n">
        <v>77.43000000000001</v>
      </c>
      <c r="L13" s="30" t="n">
        <v>77.43000000000001</v>
      </c>
      <c r="M13" s="30" t="n">
        <v>77.43000000000001</v>
      </c>
      <c r="N13" s="30" t="n">
        <v>77.43000000000001</v>
      </c>
      <c r="O13" s="30" t="n">
        <v>77.43000000000001</v>
      </c>
      <c r="P13" s="30" t="n">
        <v>77.43000000000001</v>
      </c>
      <c r="Q13" s="30" t="n">
        <v>77.43000000000001</v>
      </c>
      <c r="R13" s="30" t="n">
        <v>77.43000000000001</v>
      </c>
      <c r="S13" s="30" t="n">
        <v>11.06</v>
      </c>
    </row>
  </sheetData>
  <mergeCells count="6">
    <mergeCell ref="A4:H4"/>
    <mergeCell ref="A7:B7"/>
    <mergeCell ref="A2:H2"/>
    <mergeCell ref="A10:H10"/>
    <mergeCell ref="A13:B13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2026-09-21T21:49:46Z</dcterms:created>
  <dcterms:modified xsi:type="dcterms:W3CDTF">2026-09-21T21:49:53Z</dcterms:modified>
</cp:coreProperties>
</file>